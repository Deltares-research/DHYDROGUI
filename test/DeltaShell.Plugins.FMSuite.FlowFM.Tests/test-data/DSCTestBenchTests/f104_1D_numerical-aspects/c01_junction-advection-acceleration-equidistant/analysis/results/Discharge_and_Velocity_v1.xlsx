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HU\Tests\cases\e02_dflowfm\f104_1D_numerical-aspects\c01_junction-advection-acceleration-equidistant\analysis\results\"/>
    </mc:Choice>
  </mc:AlternateContent>
  <xr:revisionPtr revIDLastSave="0" documentId="13_ncr:1_{FF9E35C8-DDAE-4B33-B901-DF661E2134D4}" xr6:coauthVersionLast="41" xr6:coauthVersionMax="41" xr10:uidLastSave="{00000000-0000-0000-0000-000000000000}"/>
  <bookViews>
    <workbookView xWindow="-120" yWindow="-120" windowWidth="29040" windowHeight="15840" xr2:uid="{459B7356-E440-4009-BFE9-304D3E54A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4" i="1"/>
  <c r="G5" i="1"/>
  <c r="G6" i="1"/>
  <c r="G7" i="1"/>
  <c r="G8" i="1"/>
  <c r="G11" i="1"/>
  <c r="G12" i="1"/>
  <c r="G13" i="1"/>
  <c r="G14" i="1"/>
  <c r="G4" i="1"/>
  <c r="C9" i="1" l="1"/>
  <c r="G9" i="1" l="1"/>
  <c r="C10" i="1"/>
  <c r="G10" i="1" s="1"/>
</calcChain>
</file>

<file path=xl/sharedStrings.xml><?xml version="1.0" encoding="utf-8"?>
<sst xmlns="http://schemas.openxmlformats.org/spreadsheetml/2006/main" count="57" uniqueCount="40">
  <si>
    <r>
      <rPr>
        <b/>
        <sz val="11"/>
        <color rgb="FF0000FF"/>
        <rFont val="Calibri"/>
        <family val="2"/>
        <scheme val="minor"/>
      </rPr>
      <t>Steady state: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Accelerating flow </t>
    </r>
    <r>
      <rPr>
        <b/>
        <sz val="11"/>
        <color theme="1"/>
        <rFont val="Calibri"/>
        <family val="2"/>
        <scheme val="minor"/>
      </rPr>
      <t>at connection node</t>
    </r>
  </si>
  <si>
    <t>(Connection) Node</t>
  </si>
  <si>
    <t>Sobek3 - Junction-advection</t>
  </si>
  <si>
    <t>DFlowFM-Junction-advection</t>
  </si>
  <si>
    <t>Sub-model</t>
  </si>
  <si>
    <t>ID</t>
  </si>
  <si>
    <t>T1</t>
  </si>
  <si>
    <t>T2</t>
  </si>
  <si>
    <t>T3</t>
  </si>
  <si>
    <t>T4</t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</si>
  <si>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before T</t>
    </r>
    <r>
      <rPr>
        <sz val="11"/>
        <color rgb="FFFF0000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_h_pnt_x15000m</t>
    </r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</si>
  <si>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behind T</t>
    </r>
    <r>
      <rPr>
        <sz val="11"/>
        <color rgb="FFFF0000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_h_pnt_x15000m</t>
    </r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</si>
  <si>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next to T</t>
    </r>
    <r>
      <rPr>
        <sz val="11"/>
        <color rgb="FFFF0000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</si>
  <si>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</si>
  <si>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next to T</t>
    </r>
    <r>
      <rPr>
        <sz val="11"/>
        <color rgb="FFFF0000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</si>
  <si>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</si>
  <si>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</si>
  <si>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next to T</t>
    </r>
    <r>
      <rPr>
        <sz val="11"/>
        <color rgb="FFFF0000"/>
        <rFont val="Calibri"/>
        <family val="2"/>
        <scheme val="minor"/>
      </rPr>
      <t>4</t>
    </r>
    <r>
      <rPr>
        <sz val="1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</si>
  <si>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</si>
  <si>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</si>
  <si>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_ConNode</t>
    </r>
  </si>
  <si>
    <t>Discharge</t>
  </si>
  <si>
    <t>Velocity</t>
  </si>
  <si>
    <t>Difference FM-sobek</t>
  </si>
  <si>
    <t>Curved channel case only T3 and T4 are interesting</t>
  </si>
  <si>
    <t>T5 till T7 are reference systems</t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</si>
  <si>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next to T</t>
    </r>
    <r>
      <rPr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_ConNode </t>
    </r>
    <r>
      <rPr>
        <sz val="11"/>
        <color theme="6" tint="-0.249977111117893"/>
        <rFont val="Calibri"/>
        <family val="2"/>
        <scheme val="minor"/>
      </rPr>
      <t>(reference for T3 - no bends)</t>
    </r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</si>
  <si>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next to T</t>
    </r>
    <r>
      <rPr>
        <sz val="11"/>
        <color rgb="FFFF0000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_ConNode  </t>
    </r>
    <r>
      <rPr>
        <sz val="11"/>
        <color theme="6" tint="-0.249977111117893"/>
        <rFont val="Calibri"/>
        <family val="2"/>
        <scheme val="minor"/>
      </rPr>
      <t>(reference for T4 - no bends)</t>
    </r>
  </si>
  <si>
    <r>
      <t>u-pnt on B</t>
    </r>
    <r>
      <rPr>
        <sz val="11"/>
        <color rgb="FF0000FF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_ConNode </t>
    </r>
    <r>
      <rPr>
        <sz val="11"/>
        <color theme="6" tint="-0.249977111117893"/>
        <rFont val="Calibri"/>
        <family val="2"/>
        <scheme val="minor"/>
      </rPr>
      <t>(reference for T3 - no bends)</t>
    </r>
  </si>
  <si>
    <r>
      <t>u-pnt on B</t>
    </r>
    <r>
      <rPr>
        <sz val="11"/>
        <color rgb="FF0000FF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_ConNode </t>
    </r>
    <r>
      <rPr>
        <sz val="11"/>
        <color theme="6" tint="-0.249977111117893"/>
        <rFont val="Calibri"/>
        <family val="2"/>
        <scheme val="minor"/>
      </rPr>
      <t>(reference for T3 - no bends)</t>
    </r>
  </si>
  <si>
    <r>
      <t>u-pnt on B</t>
    </r>
    <r>
      <rPr>
        <sz val="11"/>
        <color rgb="FF0000FF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_ConNode  </t>
    </r>
    <r>
      <rPr>
        <sz val="11"/>
        <color theme="6" tint="-0.249977111117893"/>
        <rFont val="Calibri"/>
        <family val="2"/>
        <scheme val="minor"/>
      </rPr>
      <t>(reference for T4 - no bends)</t>
    </r>
  </si>
  <si>
    <r>
      <t>u-pnt on B</t>
    </r>
    <r>
      <rPr>
        <sz val="11"/>
        <color rgb="FF0000FF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_ConNode  </t>
    </r>
    <r>
      <rPr>
        <sz val="11"/>
        <color theme="6" tint="-0.249977111117893"/>
        <rFont val="Calibri"/>
        <family val="2"/>
        <scheme val="minor"/>
      </rPr>
      <t>(reference for T4 - no bends)</t>
    </r>
  </si>
  <si>
    <r>
      <t>u-pnt on B</t>
    </r>
    <r>
      <rPr>
        <sz val="11"/>
        <color rgb="FF0000FF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_ConNode </t>
    </r>
    <r>
      <rPr>
        <sz val="11"/>
        <color theme="6" tint="-0.249977111117893"/>
        <rFont val="Calibri"/>
        <family val="2"/>
        <scheme val="minor"/>
      </rPr>
      <t xml:space="preserve"> (reference for T4 - no bends)</t>
    </r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</si>
  <si>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next to T</t>
    </r>
    <r>
      <rPr>
        <sz val="11"/>
        <color rgb="FFFF0000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_ConNode  </t>
    </r>
    <r>
      <rPr>
        <sz val="11"/>
        <color theme="6" tint="-0.249977111117893"/>
        <rFont val="Calibri"/>
        <family val="2"/>
        <scheme val="minor"/>
      </rPr>
      <t>(reference for T4 - width switch B2 &amp; B3)</t>
    </r>
  </si>
  <si>
    <r>
      <t>u-pnt on B</t>
    </r>
    <r>
      <rPr>
        <sz val="11"/>
        <color rgb="FF0000FF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_ConNode  </t>
    </r>
    <r>
      <rPr>
        <sz val="11"/>
        <color theme="6" tint="-0.249977111117893"/>
        <rFont val="Calibri"/>
        <family val="2"/>
        <scheme val="minor"/>
      </rPr>
      <t>(reference for T4 - width switch B2 &amp; B3)</t>
    </r>
  </si>
  <si>
    <r>
      <t>u-pnt on B</t>
    </r>
    <r>
      <rPr>
        <sz val="11"/>
        <color rgb="FF0000FF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_ConNode  </t>
    </r>
    <r>
      <rPr>
        <sz val="11"/>
        <color theme="6" tint="-0.249977111117893"/>
        <rFont val="Calibri"/>
        <family val="2"/>
        <scheme val="minor"/>
      </rPr>
      <t>(reference for T4 - width switch B2 &amp; B3)</t>
    </r>
  </si>
  <si>
    <r>
      <t>u-pnt on B</t>
    </r>
    <r>
      <rPr>
        <sz val="11"/>
        <color rgb="FF0000FF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_ConNode  </t>
    </r>
    <r>
      <rPr>
        <sz val="11"/>
        <color theme="6" tint="-0.249977111117893"/>
        <rFont val="Calibri"/>
        <family val="2"/>
        <scheme val="minor"/>
      </rPr>
      <t>(reference for T4 - width switch B2 &amp; B3)</t>
    </r>
  </si>
  <si>
    <t>T5</t>
  </si>
  <si>
    <t>T6</t>
  </si>
  <si>
    <t>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</si>
</sst>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3" fontId="0" fillId="2" borderId="0" xfId="0" applyNumberFormat="1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/>
    <xf numFmtId="0" fontId="2" fillId="2" borderId="5" xfId="0" applyFont="1" applyFill="1" applyBorder="1" applyAlignment="1"/>
    <xf numFmtId="0" fontId="2" fillId="2" borderId="6" xfId="0" applyFont="1" applyFill="1" applyBorder="1" applyAlignment="1"/>
    <xf numFmtId="0" fontId="2" fillId="2" borderId="1" xfId="0" applyFont="1" applyFill="1" applyBorder="1" applyAlignment="1">
      <alignment horizontal="center"/>
    </xf>
    <xf numFmtId="164" fontId="6" fillId="2" borderId="0" xfId="0" applyNumberFormat="1" applyFont="1" applyFill="1" applyBorder="1"/>
    <xf numFmtId="0" fontId="0" fillId="2" borderId="0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7" xfId="0" applyFill="1" applyBorder="1"/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164" fontId="6" fillId="0" borderId="0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165" fontId="6" fillId="2" borderId="1" xfId="0" applyNumberFormat="1" applyFont="1" applyFill="1" applyBorder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6290-7454-44F7-8C14-BFFF21FFDD29}">
  <dimension ref="A1:Z133"/>
  <sheetViews>
    <sheetView tabSelected="1" workbookViewId="0">
      <selection sqref="A1:H26"/>
    </sheetView>
  </sheetViews>
  <sheetFormatPr defaultRowHeight="15" x14ac:dyDescent="0.25"/>
  <cols>
    <col min="1" max="1" width="10.7109375" bestFit="1" customWidth="1"/>
    <col min="2" max="2" width="35.7109375" bestFit="1" customWidth="1"/>
    <col min="3" max="3" width="14.7109375" customWidth="1"/>
    <col min="4" max="4" width="20.42578125" customWidth="1"/>
    <col min="5" max="5" width="23" bestFit="1" customWidth="1"/>
    <col min="6" max="6" width="14.85546875" customWidth="1"/>
    <col min="7" max="7" width="11.28515625" customWidth="1"/>
    <col min="8" max="8" width="13.42578125" customWidth="1"/>
  </cols>
  <sheetData>
    <row r="1" spans="1:26" x14ac:dyDescent="0.25">
      <c r="A1" s="21"/>
      <c r="B1" s="24" t="s">
        <v>0</v>
      </c>
      <c r="C1" s="25"/>
      <c r="D1" s="25"/>
      <c r="E1" s="25"/>
      <c r="F1" s="25"/>
      <c r="G1" s="7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2"/>
      <c r="B2" s="19" t="s">
        <v>1</v>
      </c>
      <c r="C2" s="20" t="s">
        <v>2</v>
      </c>
      <c r="D2" s="20"/>
      <c r="E2" s="20" t="s">
        <v>3</v>
      </c>
      <c r="F2" s="20"/>
      <c r="G2" s="20" t="s">
        <v>23</v>
      </c>
      <c r="H2" s="2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9" t="s">
        <v>4</v>
      </c>
      <c r="B3" s="4" t="s">
        <v>5</v>
      </c>
      <c r="C3" s="4" t="s">
        <v>21</v>
      </c>
      <c r="D3" s="4" t="s">
        <v>22</v>
      </c>
      <c r="E3" s="4" t="s">
        <v>21</v>
      </c>
      <c r="F3" s="4" t="s">
        <v>22</v>
      </c>
      <c r="G3" s="4" t="s">
        <v>21</v>
      </c>
      <c r="H3" s="4" t="s">
        <v>22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5" t="s">
        <v>6</v>
      </c>
      <c r="B4" s="3" t="s">
        <v>10</v>
      </c>
      <c r="C4" s="6">
        <v>790.57</v>
      </c>
      <c r="D4" s="6">
        <v>1.13368</v>
      </c>
      <c r="E4" s="6">
        <v>790.56990409506102</v>
      </c>
      <c r="F4" s="6">
        <v>1.1331627066579</v>
      </c>
      <c r="G4" s="6">
        <f>E4-C4</f>
        <v>-9.590493903033348E-5</v>
      </c>
      <c r="H4" s="6">
        <f>F4-D4</f>
        <v>-5.1729334210004474E-4</v>
      </c>
      <c r="I4" s="2"/>
      <c r="J4" s="1"/>
      <c r="K4" s="3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3"/>
      <c r="B5" s="3" t="s">
        <v>11</v>
      </c>
      <c r="C5" s="6">
        <v>790.57</v>
      </c>
      <c r="D5" s="6">
        <v>1.5549550000000001</v>
      </c>
      <c r="E5" s="6">
        <v>790.56989900599001</v>
      </c>
      <c r="F5" s="6">
        <v>1.56365497769826</v>
      </c>
      <c r="G5" s="6">
        <f t="shared" ref="G5:G14" si="0">E5-C5</f>
        <v>-1.0099401004026731E-4</v>
      </c>
      <c r="H5" s="6">
        <f t="shared" ref="H5:H14" si="1">F5-D5</f>
        <v>8.6999776982599197E-3</v>
      </c>
      <c r="I5" s="2"/>
      <c r="J5" s="1"/>
      <c r="K5" s="32"/>
      <c r="L5" s="1"/>
      <c r="M5" s="1"/>
      <c r="N5" s="11"/>
      <c r="O5" s="11"/>
      <c r="P5" s="11"/>
      <c r="Q5" s="1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5" t="s">
        <v>7</v>
      </c>
      <c r="B6" s="3" t="s">
        <v>12</v>
      </c>
      <c r="C6" s="6">
        <v>790.57</v>
      </c>
      <c r="D6" s="6">
        <v>1.13368</v>
      </c>
      <c r="E6" s="6">
        <v>790.56990409506102</v>
      </c>
      <c r="F6" s="6">
        <v>1.1331627066579</v>
      </c>
      <c r="G6" s="6">
        <f t="shared" si="0"/>
        <v>-9.590493903033348E-5</v>
      </c>
      <c r="H6" s="6">
        <f t="shared" si="1"/>
        <v>-5.1729334210004474E-4</v>
      </c>
      <c r="I6" s="2"/>
      <c r="J6" s="1"/>
      <c r="K6" s="32"/>
      <c r="L6" s="1"/>
      <c r="M6" s="1"/>
      <c r="N6" s="23"/>
      <c r="O6" s="23"/>
      <c r="P6" s="23"/>
      <c r="Q6" s="23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5"/>
      <c r="B7" s="3" t="s">
        <v>13</v>
      </c>
      <c r="C7" s="6">
        <v>790.57</v>
      </c>
      <c r="D7" s="6">
        <v>1.5549550000000001</v>
      </c>
      <c r="E7" s="6">
        <v>790.56989900599001</v>
      </c>
      <c r="F7" s="6">
        <v>1.56365497769826</v>
      </c>
      <c r="G7" s="6">
        <f t="shared" si="0"/>
        <v>-1.0099401004026731E-4</v>
      </c>
      <c r="H7" s="6">
        <f t="shared" si="1"/>
        <v>8.6999776982599197E-3</v>
      </c>
      <c r="I7" s="2"/>
      <c r="J7" s="1"/>
      <c r="K7" s="32"/>
      <c r="L7" s="1"/>
      <c r="M7" s="1"/>
      <c r="N7" s="23"/>
      <c r="O7" s="15"/>
      <c r="P7" s="23"/>
      <c r="Q7" s="23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5" t="s">
        <v>8</v>
      </c>
      <c r="B8" s="3" t="s">
        <v>14</v>
      </c>
      <c r="C8" s="6">
        <v>790.57</v>
      </c>
      <c r="D8" s="6">
        <v>1.13368</v>
      </c>
      <c r="E8" s="6">
        <v>790.56990730942698</v>
      </c>
      <c r="F8" s="6">
        <v>1.13618733191439</v>
      </c>
      <c r="G8" s="6">
        <f t="shared" si="0"/>
        <v>-9.2690573069376114E-5</v>
      </c>
      <c r="H8" s="6">
        <f t="shared" si="1"/>
        <v>2.5073319143900097E-3</v>
      </c>
      <c r="I8" s="2"/>
      <c r="J8" s="1"/>
      <c r="K8" s="32"/>
      <c r="L8" s="1"/>
      <c r="M8" s="1"/>
      <c r="N8" s="15"/>
      <c r="O8" s="16"/>
      <c r="P8" s="16"/>
      <c r="Q8" s="16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3"/>
      <c r="B9" s="3" t="s">
        <v>15</v>
      </c>
      <c r="C9" s="6">
        <f>C8/2</f>
        <v>395.28500000000003</v>
      </c>
      <c r="D9" s="6">
        <v>1.5549550000000001</v>
      </c>
      <c r="E9" s="6">
        <v>395.28495118502201</v>
      </c>
      <c r="F9" s="6">
        <v>1.55950717885683</v>
      </c>
      <c r="G9" s="6">
        <f t="shared" si="0"/>
        <v>-4.8814978015343513E-5</v>
      </c>
      <c r="H9" s="6">
        <f t="shared" si="1"/>
        <v>4.5521788568299026E-3</v>
      </c>
      <c r="I9" s="2"/>
      <c r="J9" s="1"/>
      <c r="K9" s="32"/>
      <c r="L9" s="1"/>
      <c r="M9" s="1"/>
      <c r="N9" s="17"/>
      <c r="O9" s="11"/>
      <c r="P9" s="10"/>
      <c r="Q9" s="18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3"/>
      <c r="B10" s="3" t="s">
        <v>16</v>
      </c>
      <c r="C10" s="6">
        <f>C9</f>
        <v>395.28500000000003</v>
      </c>
      <c r="D10" s="6">
        <v>1.5549550000000001</v>
      </c>
      <c r="E10" s="6">
        <v>395.28495118502201</v>
      </c>
      <c r="F10" s="6">
        <v>1.55950717885683</v>
      </c>
      <c r="G10" s="6">
        <f t="shared" si="0"/>
        <v>-4.8814978015343513E-5</v>
      </c>
      <c r="H10" s="6">
        <f t="shared" si="1"/>
        <v>4.5521788568299026E-3</v>
      </c>
      <c r="I10" s="2"/>
      <c r="J10" s="1"/>
      <c r="K10" s="32"/>
      <c r="L10" s="1"/>
      <c r="M10" s="1"/>
      <c r="N10" s="11"/>
      <c r="O10" s="11"/>
      <c r="P10" s="10"/>
      <c r="Q10" s="10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5" t="s">
        <v>9</v>
      </c>
      <c r="B11" s="3" t="s">
        <v>17</v>
      </c>
      <c r="C11" s="6">
        <v>237.17099999999999</v>
      </c>
      <c r="D11" s="6">
        <v>1.13368</v>
      </c>
      <c r="E11" s="6">
        <v>237.170969427415</v>
      </c>
      <c r="F11" s="6">
        <v>1.1221779316538301</v>
      </c>
      <c r="G11" s="6">
        <f t="shared" si="0"/>
        <v>-3.0572584989840834E-5</v>
      </c>
      <c r="H11" s="6">
        <f t="shared" si="1"/>
        <v>-1.1502068346169958E-2</v>
      </c>
      <c r="I11" s="2"/>
      <c r="J11" s="1"/>
      <c r="K11" s="32"/>
      <c r="L11" s="1"/>
      <c r="M11" s="1"/>
      <c r="N11" s="17"/>
      <c r="O11" s="11"/>
      <c r="P11" s="10"/>
      <c r="Q11" s="18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3"/>
      <c r="B12" s="3" t="s">
        <v>18</v>
      </c>
      <c r="C12" s="6">
        <v>79.057000000000002</v>
      </c>
      <c r="D12" s="6">
        <v>1.5549550000000001</v>
      </c>
      <c r="E12" s="6">
        <v>80.849614972551606</v>
      </c>
      <c r="F12" s="6">
        <v>1.5824496718177901</v>
      </c>
      <c r="G12" s="6">
        <f t="shared" si="0"/>
        <v>1.7926149725516041</v>
      </c>
      <c r="H12" s="6">
        <f t="shared" si="1"/>
        <v>2.7494671817789973E-2</v>
      </c>
      <c r="I12" s="2"/>
      <c r="J12" s="1"/>
      <c r="K12" s="32"/>
      <c r="L12" s="1"/>
      <c r="M12" s="1"/>
      <c r="N12" s="11"/>
      <c r="O12" s="11"/>
      <c r="P12" s="10"/>
      <c r="Q12" s="10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3"/>
      <c r="B13" s="3" t="s">
        <v>19</v>
      </c>
      <c r="C13" s="6">
        <v>711.51300000000003</v>
      </c>
      <c r="D13" s="6">
        <v>1.5549550000000001</v>
      </c>
      <c r="E13" s="6">
        <v>709.72028187844501</v>
      </c>
      <c r="F13" s="6">
        <v>1.5434645442420101</v>
      </c>
      <c r="G13" s="6">
        <f t="shared" si="0"/>
        <v>-1.7927181215550263</v>
      </c>
      <c r="H13" s="6">
        <f t="shared" si="1"/>
        <v>-1.1490455757990015E-2</v>
      </c>
      <c r="I13" s="2"/>
      <c r="J13" s="1"/>
      <c r="K13" s="3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3"/>
      <c r="B14" s="3" t="s">
        <v>20</v>
      </c>
      <c r="C14" s="6">
        <v>553.399</v>
      </c>
      <c r="D14" s="6">
        <v>1.13368</v>
      </c>
      <c r="E14" s="6">
        <v>553.39893274414703</v>
      </c>
      <c r="F14" s="6">
        <v>1.1364405715496499</v>
      </c>
      <c r="G14" s="6">
        <f t="shared" si="0"/>
        <v>-6.725585296862846E-5</v>
      </c>
      <c r="H14" s="6">
        <f t="shared" si="1"/>
        <v>2.7605715496499261E-3</v>
      </c>
      <c r="I14" s="2"/>
      <c r="J14" s="1"/>
      <c r="K14" s="3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5"/>
      <c r="B15" s="26" t="s">
        <v>25</v>
      </c>
      <c r="C15" s="26"/>
      <c r="D15" s="26"/>
      <c r="E15" s="26"/>
      <c r="F15" s="2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5" t="s">
        <v>37</v>
      </c>
      <c r="B16" s="27" t="s">
        <v>26</v>
      </c>
      <c r="C16" s="28"/>
      <c r="D16" s="29"/>
      <c r="E16" s="6">
        <v>790.56990157549103</v>
      </c>
      <c r="F16" s="6">
        <v>1.1305092137608701</v>
      </c>
      <c r="G16" s="10"/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3"/>
      <c r="B17" s="27" t="s">
        <v>28</v>
      </c>
      <c r="C17" s="28"/>
      <c r="D17" s="29"/>
      <c r="E17" s="6">
        <v>395.28494817576899</v>
      </c>
      <c r="F17" s="6">
        <v>1.5619079189929399</v>
      </c>
      <c r="G17" s="10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3"/>
      <c r="B18" s="27" t="s">
        <v>29</v>
      </c>
      <c r="C18" s="28"/>
      <c r="D18" s="29"/>
      <c r="E18" s="6">
        <v>395.28494817576899</v>
      </c>
      <c r="F18" s="6">
        <v>1.5619079189929399</v>
      </c>
      <c r="G18" s="10"/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5" t="s">
        <v>38</v>
      </c>
      <c r="B19" s="27" t="s">
        <v>27</v>
      </c>
      <c r="C19" s="28"/>
      <c r="D19" s="29"/>
      <c r="E19" s="6">
        <v>237.170970583562</v>
      </c>
      <c r="F19" s="6">
        <v>1.1288547772595201</v>
      </c>
      <c r="G19" s="10"/>
      <c r="H19" s="1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3"/>
      <c r="B20" s="27" t="s">
        <v>30</v>
      </c>
      <c r="C20" s="28"/>
      <c r="D20" s="29"/>
      <c r="E20" s="6">
        <v>78.938835952973207</v>
      </c>
      <c r="F20" s="6">
        <v>1.56097349856565</v>
      </c>
      <c r="G20" s="10"/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3"/>
      <c r="B21" s="27" t="s">
        <v>31</v>
      </c>
      <c r="C21" s="28"/>
      <c r="D21" s="29"/>
      <c r="E21" s="6">
        <v>711.63106162825295</v>
      </c>
      <c r="F21" s="6">
        <v>1.5635695335973001</v>
      </c>
      <c r="G21" s="10"/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3"/>
      <c r="B22" s="27" t="s">
        <v>32</v>
      </c>
      <c r="C22" s="28"/>
      <c r="D22" s="29"/>
      <c r="E22" s="6">
        <v>553.39893212860795</v>
      </c>
      <c r="F22" s="6">
        <v>1.1317816937557299</v>
      </c>
      <c r="G22" s="10"/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5" t="s">
        <v>39</v>
      </c>
      <c r="B23" s="27" t="s">
        <v>33</v>
      </c>
      <c r="C23" s="28"/>
      <c r="D23" s="29"/>
      <c r="E23" s="6">
        <v>237.17097044480599</v>
      </c>
      <c r="F23" s="6">
        <v>1.1242205104540399</v>
      </c>
      <c r="G23" s="10"/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3"/>
      <c r="B24" s="27" t="s">
        <v>34</v>
      </c>
      <c r="C24" s="28"/>
      <c r="D24" s="29"/>
      <c r="E24" s="6">
        <v>711.61107456295701</v>
      </c>
      <c r="F24" s="6">
        <v>1.5546958492581999</v>
      </c>
      <c r="G24" s="10"/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3"/>
      <c r="B25" s="27" t="s">
        <v>35</v>
      </c>
      <c r="C25" s="28"/>
      <c r="D25" s="29"/>
      <c r="E25" s="6">
        <v>78.958825938608101</v>
      </c>
      <c r="F25" s="6">
        <v>1.5525512010065601</v>
      </c>
      <c r="G25" s="10"/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3"/>
      <c r="B26" s="27" t="s">
        <v>36</v>
      </c>
      <c r="C26" s="28"/>
      <c r="D26" s="29"/>
      <c r="E26" s="6">
        <v>553.39893512318497</v>
      </c>
      <c r="F26" s="6">
        <v>1.13879714251425</v>
      </c>
      <c r="G26" s="10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2" t="s">
        <v>24</v>
      </c>
      <c r="D28" s="13"/>
      <c r="E28" s="13"/>
      <c r="F28" s="1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21"/>
      <c r="D29" s="24" t="s">
        <v>0</v>
      </c>
      <c r="E29" s="25"/>
      <c r="F29" s="3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22"/>
      <c r="D30" s="9" t="s">
        <v>1</v>
      </c>
      <c r="E30" s="20" t="s">
        <v>3</v>
      </c>
      <c r="F30" s="2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9" t="s">
        <v>4</v>
      </c>
      <c r="D31" s="4" t="s">
        <v>5</v>
      </c>
      <c r="E31" s="4" t="s">
        <v>21</v>
      </c>
      <c r="F31" s="4" t="s">
        <v>22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5" t="s">
        <v>8</v>
      </c>
      <c r="D32" s="3" t="s">
        <v>14</v>
      </c>
      <c r="E32" s="31">
        <v>790.56990667493199</v>
      </c>
      <c r="F32" s="31">
        <v>1.1359260661898001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3"/>
      <c r="D33" s="3" t="s">
        <v>15</v>
      </c>
      <c r="E33" s="31">
        <v>790.56990168744198</v>
      </c>
      <c r="F33" s="31">
        <v>1.55657017265179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5" t="s">
        <v>9</v>
      </c>
      <c r="D34" s="3" t="s">
        <v>17</v>
      </c>
      <c r="E34" s="31">
        <v>790.56991097079504</v>
      </c>
      <c r="F34" s="31">
        <v>1.1427378670539201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3"/>
      <c r="D35" s="3" t="s">
        <v>18</v>
      </c>
      <c r="E35" s="31">
        <v>790.56990605207795</v>
      </c>
      <c r="F35" s="31">
        <v>1.5379613084622299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</sheetData>
  <mergeCells count="23">
    <mergeCell ref="B25:D25"/>
    <mergeCell ref="B26:D26"/>
    <mergeCell ref="C29:C30"/>
    <mergeCell ref="D29:F29"/>
    <mergeCell ref="E30:F30"/>
    <mergeCell ref="B20:D20"/>
    <mergeCell ref="B21:D21"/>
    <mergeCell ref="B22:D22"/>
    <mergeCell ref="B23:D23"/>
    <mergeCell ref="B24:D24"/>
    <mergeCell ref="B15:F15"/>
    <mergeCell ref="B16:D16"/>
    <mergeCell ref="B17:D17"/>
    <mergeCell ref="B18:D18"/>
    <mergeCell ref="B19:D19"/>
    <mergeCell ref="G2:H2"/>
    <mergeCell ref="A1:A2"/>
    <mergeCell ref="N6:N7"/>
    <mergeCell ref="O6:Q6"/>
    <mergeCell ref="P7:Q7"/>
    <mergeCell ref="B1:F1"/>
    <mergeCell ref="C2:D2"/>
    <mergeCell ref="E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Rinske Hutten</dc:creator>
  <cp:lastModifiedBy>Chris Luger</cp:lastModifiedBy>
  <dcterms:created xsi:type="dcterms:W3CDTF">2019-04-26T14:00:15Z</dcterms:created>
  <dcterms:modified xsi:type="dcterms:W3CDTF">2019-07-09T07:52:13Z</dcterms:modified>
</cp:coreProperties>
</file>