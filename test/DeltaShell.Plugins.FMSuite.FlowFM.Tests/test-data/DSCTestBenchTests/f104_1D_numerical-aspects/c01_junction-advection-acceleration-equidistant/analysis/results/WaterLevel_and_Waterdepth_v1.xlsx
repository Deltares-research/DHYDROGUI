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HU\Tests\cases\e02_dflowfm\f104_1D_numerical-aspects\c01_junction-advection-acceleration-equidistant\analysis\results\"/>
    </mc:Choice>
  </mc:AlternateContent>
  <xr:revisionPtr revIDLastSave="0" documentId="13_ncr:1_{976940C2-A081-4B2F-AED4-0527BCAE46B3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WaterLevel_and_Waterdepth_v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" i="1" l="1"/>
  <c r="H5" i="1" l="1"/>
  <c r="H6" i="1"/>
  <c r="H7" i="1"/>
  <c r="H4" i="1"/>
  <c r="G5" i="1"/>
  <c r="G7" i="1"/>
  <c r="G4" i="1"/>
</calcChain>
</file>

<file path=xl/sharedStrings.xml><?xml version="1.0" encoding="utf-8"?>
<sst xmlns="http://schemas.openxmlformats.org/spreadsheetml/2006/main" count="40" uniqueCount="25">
  <si>
    <t>(Connection) Node</t>
  </si>
  <si>
    <t>Sobek3 - Junction-advection</t>
  </si>
  <si>
    <t>DFlowFM-Junction-advection</t>
  </si>
  <si>
    <t>Sub-model</t>
  </si>
  <si>
    <t>ID</t>
  </si>
  <si>
    <t>Water depth</t>
  </si>
  <si>
    <t>Water level</t>
  </si>
  <si>
    <t>T1</t>
  </si>
  <si>
    <t>T1_h_pnt_x15000m</t>
  </si>
  <si>
    <t>T2</t>
  </si>
  <si>
    <t>T2_ConNode</t>
  </si>
  <si>
    <t>T3</t>
  </si>
  <si>
    <t>T3_ConNode</t>
  </si>
  <si>
    <t>T4</t>
  </si>
  <si>
    <t>T4_ConNode</t>
  </si>
  <si>
    <r>
      <rPr>
        <b/>
        <sz val="11"/>
        <color rgb="FF0000FF"/>
        <rFont val="Calibri"/>
        <family val="2"/>
        <scheme val="minor"/>
      </rPr>
      <t>Steady state:</t>
    </r>
    <r>
      <rPr>
        <b/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 xml:space="preserve">Accelerating flow </t>
    </r>
    <r>
      <rPr>
        <b/>
        <sz val="11"/>
        <color theme="1"/>
        <rFont val="Calibri"/>
        <family val="2"/>
        <scheme val="minor"/>
      </rPr>
      <t>at connection node</t>
    </r>
  </si>
  <si>
    <t>Difference FM-sobek</t>
  </si>
  <si>
    <t>Curved channel case only T3 and T4 are interesting</t>
  </si>
  <si>
    <t>T5</t>
  </si>
  <si>
    <t>T6</t>
  </si>
  <si>
    <t>T7</t>
  </si>
  <si>
    <t>T5 till T7 are reference systems</t>
  </si>
  <si>
    <r>
      <t>T5_ConNode</t>
    </r>
    <r>
      <rPr>
        <sz val="11"/>
        <color theme="6" tint="-0.249977111117893"/>
        <rFont val="Calibri"/>
        <family val="2"/>
        <scheme val="minor"/>
      </rPr>
      <t xml:space="preserve"> (reference for T3 - no bends)</t>
    </r>
  </si>
  <si>
    <r>
      <t xml:space="preserve">T6_ConNode  </t>
    </r>
    <r>
      <rPr>
        <sz val="11"/>
        <color theme="6" tint="-0.249977111117893"/>
        <rFont val="Calibri"/>
        <family val="2"/>
        <scheme val="minor"/>
      </rPr>
      <t>(reference for T4 - no bends)</t>
    </r>
  </si>
  <si>
    <r>
      <t xml:space="preserve">T7_ConNode </t>
    </r>
    <r>
      <rPr>
        <sz val="11"/>
        <color theme="6" tint="-0.249977111117893"/>
        <rFont val="Calibri"/>
        <family val="2"/>
        <scheme val="minor"/>
      </rPr>
      <t xml:space="preserve"> (reference for T4 - width switch B2 &amp; B3)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</si>
</sst>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6" tint="-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Fill="1"/>
    <xf numFmtId="0" fontId="0" fillId="33" borderId="10" xfId="0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0" fillId="33" borderId="10" xfId="0" applyFill="1" applyBorder="1"/>
    <xf numFmtId="0" fontId="16" fillId="33" borderId="10" xfId="0" applyFont="1" applyFill="1" applyBorder="1" applyAlignment="1">
      <alignment horizontal="center"/>
    </xf>
    <xf numFmtId="0" fontId="20" fillId="33" borderId="0" xfId="0" applyFont="1" applyFill="1" applyBorder="1" applyAlignment="1">
      <alignment horizontal="center"/>
    </xf>
    <xf numFmtId="0" fontId="0" fillId="33" borderId="0" xfId="0" applyFill="1" applyBorder="1"/>
    <xf numFmtId="0" fontId="21" fillId="33" borderId="0" xfId="0" applyFont="1" applyFill="1" applyBorder="1"/>
    <xf numFmtId="164" fontId="21" fillId="33" borderId="0" xfId="0" applyNumberFormat="1" applyFont="1" applyFill="1" applyBorder="1"/>
    <xf numFmtId="165" fontId="21" fillId="33" borderId="10" xfId="0" applyNumberFormat="1" applyFont="1" applyFill="1" applyBorder="1"/>
    <xf numFmtId="0" fontId="0" fillId="33" borderId="0" xfId="0" applyFill="1" applyBorder="1" applyAlignment="1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22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35"/>
  <sheetViews>
    <sheetView tabSelected="1" workbookViewId="0">
      <selection activeCell="H19" sqref="H19"/>
    </sheetView>
  </sheetViews>
  <sheetFormatPr defaultRowHeight="15" x14ac:dyDescent="0.25"/>
  <cols>
    <col min="1" max="1" width="10.7109375" bestFit="1" customWidth="1"/>
    <col min="2" max="2" width="18.140625" bestFit="1" customWidth="1"/>
    <col min="3" max="8" width="19.140625" customWidth="1"/>
  </cols>
  <sheetData>
    <row r="1" spans="1:56" x14ac:dyDescent="0.25">
      <c r="A1" s="13"/>
      <c r="B1" s="13" t="s">
        <v>15</v>
      </c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x14ac:dyDescent="0.25">
      <c r="A2" s="13"/>
      <c r="B2" s="12" t="s">
        <v>0</v>
      </c>
      <c r="C2" s="13" t="s">
        <v>1</v>
      </c>
      <c r="D2" s="13"/>
      <c r="E2" s="13" t="s">
        <v>2</v>
      </c>
      <c r="F2" s="13"/>
      <c r="G2" s="13" t="s">
        <v>16</v>
      </c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x14ac:dyDescent="0.25">
      <c r="A3" s="12" t="s">
        <v>3</v>
      </c>
      <c r="B3" s="2" t="s">
        <v>4</v>
      </c>
      <c r="C3" s="2" t="s">
        <v>5</v>
      </c>
      <c r="D3" s="2" t="s">
        <v>6</v>
      </c>
      <c r="E3" s="2" t="s">
        <v>5</v>
      </c>
      <c r="F3" s="2" t="s">
        <v>6</v>
      </c>
      <c r="G3" s="2" t="s">
        <v>5</v>
      </c>
      <c r="H3" s="2" t="s">
        <v>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x14ac:dyDescent="0.25">
      <c r="A4" s="3" t="s">
        <v>7</v>
      </c>
      <c r="B4" s="4" t="s">
        <v>8</v>
      </c>
      <c r="C4" s="10">
        <v>1.01739</v>
      </c>
      <c r="D4" s="10">
        <v>11.017390000000001</v>
      </c>
      <c r="E4" s="10">
        <v>1.0117320195558801</v>
      </c>
      <c r="F4" s="10">
        <v>11.011732020166599</v>
      </c>
      <c r="G4" s="10">
        <f>E4-C4</f>
        <v>-5.6579804441199144E-3</v>
      </c>
      <c r="H4" s="10">
        <f>F4-D4</f>
        <v>-5.6579798334013276E-3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x14ac:dyDescent="0.25">
      <c r="A5" s="3" t="s">
        <v>9</v>
      </c>
      <c r="B5" s="4" t="s">
        <v>10</v>
      </c>
      <c r="C5" s="10">
        <v>1.01739</v>
      </c>
      <c r="D5" s="10">
        <v>11.017390000000001</v>
      </c>
      <c r="E5" s="10">
        <v>1.0117320195558801</v>
      </c>
      <c r="F5" s="10">
        <v>11.011732020166599</v>
      </c>
      <c r="G5" s="10">
        <f t="shared" ref="G5:G7" si="0">E5-C5</f>
        <v>-5.6579804441199144E-3</v>
      </c>
      <c r="H5" s="10">
        <f t="shared" ref="H5:H7" si="1">F5-D5</f>
        <v>-5.6579798334013276E-3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x14ac:dyDescent="0.25">
      <c r="A6" s="3" t="s">
        <v>11</v>
      </c>
      <c r="B6" s="4" t="s">
        <v>12</v>
      </c>
      <c r="C6" s="10">
        <v>1.01739</v>
      </c>
      <c r="D6" s="10">
        <v>11.017390000000001</v>
      </c>
      <c r="E6" s="10">
        <v>1.0144214501576501</v>
      </c>
      <c r="F6" s="10">
        <v>11.014421450750399</v>
      </c>
      <c r="G6" s="10">
        <f>E6-C6</f>
        <v>-2.9685498423499546E-3</v>
      </c>
      <c r="H6" s="10">
        <f t="shared" si="1"/>
        <v>-2.9685492496014376E-3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x14ac:dyDescent="0.25">
      <c r="A7" s="3" t="s">
        <v>13</v>
      </c>
      <c r="B7" s="4" t="s">
        <v>14</v>
      </c>
      <c r="C7" s="10">
        <v>1.01739</v>
      </c>
      <c r="D7" s="10">
        <v>11.017390000000001</v>
      </c>
      <c r="E7" s="10">
        <v>1.0223785791256099</v>
      </c>
      <c r="F7" s="10">
        <v>11.0223785797641</v>
      </c>
      <c r="G7" s="10">
        <f t="shared" si="0"/>
        <v>4.9885791256099044E-3</v>
      </c>
      <c r="H7" s="10">
        <f t="shared" si="1"/>
        <v>4.9885797640989438E-3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x14ac:dyDescent="0.25">
      <c r="A8" s="3"/>
      <c r="B8" s="14" t="s">
        <v>21</v>
      </c>
      <c r="C8" s="14"/>
      <c r="D8" s="14"/>
      <c r="E8" s="14"/>
      <c r="F8" s="14"/>
      <c r="G8" s="11"/>
      <c r="H8" s="11"/>
      <c r="I8" s="1"/>
      <c r="J8" s="1"/>
      <c r="K8" s="1"/>
      <c r="L8" s="6"/>
      <c r="M8" s="7"/>
      <c r="N8" s="8"/>
      <c r="O8" s="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x14ac:dyDescent="0.25">
      <c r="A9" s="3" t="s">
        <v>18</v>
      </c>
      <c r="B9" s="15" t="s">
        <v>22</v>
      </c>
      <c r="C9" s="15"/>
      <c r="D9" s="15"/>
      <c r="E9" s="10">
        <v>1.01286306526076</v>
      </c>
      <c r="F9" s="10">
        <v>11.012863065887601</v>
      </c>
      <c r="G9" s="9"/>
      <c r="H9" s="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x14ac:dyDescent="0.25">
      <c r="A10" s="3" t="s">
        <v>19</v>
      </c>
      <c r="B10" s="15" t="s">
        <v>23</v>
      </c>
      <c r="C10" s="15"/>
      <c r="D10" s="15"/>
      <c r="E10" s="10">
        <v>1.01195520192385</v>
      </c>
      <c r="F10" s="10">
        <v>11.0119552025396</v>
      </c>
      <c r="G10" s="9"/>
      <c r="H10" s="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x14ac:dyDescent="0.25">
      <c r="A11" s="3" t="s">
        <v>20</v>
      </c>
      <c r="B11" s="15" t="s">
        <v>24</v>
      </c>
      <c r="C11" s="15"/>
      <c r="D11" s="15"/>
      <c r="E11" s="10">
        <v>1.0176993960431799</v>
      </c>
      <c r="F11" s="10">
        <v>11.017699396651199</v>
      </c>
      <c r="G11" s="9"/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x14ac:dyDescent="0.25">
      <c r="A13" s="1"/>
      <c r="B13" s="1"/>
      <c r="C13" s="4" t="s">
        <v>17</v>
      </c>
      <c r="D13" s="4"/>
      <c r="E13" s="4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x14ac:dyDescent="0.25">
      <c r="A14" s="1"/>
      <c r="B14" s="1"/>
      <c r="C14" s="13"/>
      <c r="D14" s="13" t="s">
        <v>15</v>
      </c>
      <c r="E14" s="13"/>
      <c r="F14" s="1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x14ac:dyDescent="0.25">
      <c r="A15" s="1"/>
      <c r="B15" s="1"/>
      <c r="C15" s="13"/>
      <c r="D15" s="5" t="s">
        <v>0</v>
      </c>
      <c r="E15" s="13" t="s">
        <v>2</v>
      </c>
      <c r="F15" s="1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x14ac:dyDescent="0.25">
      <c r="A16" s="1"/>
      <c r="B16" s="1"/>
      <c r="C16" s="5" t="s">
        <v>3</v>
      </c>
      <c r="D16" s="2" t="s">
        <v>4</v>
      </c>
      <c r="E16" s="2" t="s">
        <v>5</v>
      </c>
      <c r="F16" s="2" t="s">
        <v>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x14ac:dyDescent="0.25">
      <c r="A17" s="1"/>
      <c r="B17" s="1"/>
      <c r="C17" s="3" t="s">
        <v>11</v>
      </c>
      <c r="D17" s="4" t="s">
        <v>12</v>
      </c>
      <c r="E17" s="10">
        <v>1.0163344672694401</v>
      </c>
      <c r="F17" s="10">
        <v>11.0163344678679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x14ac:dyDescent="0.25">
      <c r="A18" s="1"/>
      <c r="B18" s="1"/>
      <c r="C18" s="3" t="s">
        <v>13</v>
      </c>
      <c r="D18" s="4" t="s">
        <v>14</v>
      </c>
      <c r="E18" s="10">
        <v>1.02862515612241</v>
      </c>
      <c r="F18" s="10">
        <v>11.0286251567127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</sheetData>
  <mergeCells count="12">
    <mergeCell ref="A1:A2"/>
    <mergeCell ref="C2:D2"/>
    <mergeCell ref="E2:F2"/>
    <mergeCell ref="B10:D10"/>
    <mergeCell ref="B11:D11"/>
    <mergeCell ref="G2:H2"/>
    <mergeCell ref="B1:H1"/>
    <mergeCell ref="B8:F8"/>
    <mergeCell ref="B9:D9"/>
    <mergeCell ref="C14:C15"/>
    <mergeCell ref="D14:F14"/>
    <mergeCell ref="E15:F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WaterLevel_and_Waterdepth_v1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Luger</cp:lastModifiedBy>
  <dcterms:created xsi:type="dcterms:W3CDTF">2019-04-26T14:07:28Z</dcterms:created>
  <dcterms:modified xsi:type="dcterms:W3CDTF">2019-07-09T07:58:27Z</dcterms:modified>
</cp:coreProperties>
</file>