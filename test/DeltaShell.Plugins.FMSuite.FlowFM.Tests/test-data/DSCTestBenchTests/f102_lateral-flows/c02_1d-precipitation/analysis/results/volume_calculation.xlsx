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Projects\05_27_FM_testing\testbench\cases\e02_dflowfm\f102_lateral-flows\c02_1d-precipitation\analysis\results\"/>
    </mc:Choice>
  </mc:AlternateContent>
  <xr:revisionPtr revIDLastSave="0" documentId="13_ncr:1_{E4BAA379-446F-4625-A46E-D268398B952C}" xr6:coauthVersionLast="41" xr6:coauthVersionMax="41" xr10:uidLastSave="{00000000-0000-0000-0000-000000000000}"/>
  <bookViews>
    <workbookView xWindow="-108" yWindow="-108" windowWidth="23256" windowHeight="12576" activeTab="2" xr2:uid="{C3CED554-D92B-452D-B5D0-F52879DF0812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" i="4" l="1"/>
  <c r="F8" i="2"/>
  <c r="I8" i="2"/>
  <c r="L8" i="2" s="1"/>
  <c r="H8" i="2"/>
  <c r="F7" i="2"/>
  <c r="E8" i="2"/>
  <c r="D8" i="2"/>
  <c r="I18" i="2" l="1"/>
  <c r="F18" i="2"/>
  <c r="G18" i="2"/>
  <c r="E18" i="2"/>
  <c r="L7" i="2"/>
  <c r="E7" i="2"/>
  <c r="E2" i="2"/>
  <c r="D7" i="2"/>
  <c r="K7" i="2" s="1"/>
  <c r="H17" i="2"/>
  <c r="G17" i="2" l="1"/>
  <c r="K4" i="1" s="1"/>
  <c r="J10" i="1" s="1"/>
  <c r="I3" i="1"/>
  <c r="I10" i="1"/>
  <c r="J8" i="1"/>
  <c r="I8" i="1"/>
  <c r="G2" i="1"/>
  <c r="I17" i="2" l="1"/>
  <c r="K8" i="1"/>
  <c r="F6" i="2"/>
  <c r="E17" i="2" s="1"/>
  <c r="K3" i="1"/>
  <c r="K5" i="1" s="1"/>
  <c r="D6" i="2"/>
  <c r="G4" i="1"/>
  <c r="S28" i="2"/>
  <c r="Q28" i="2"/>
  <c r="S29" i="2"/>
  <c r="Q29" i="2"/>
  <c r="S20" i="2"/>
  <c r="R29" i="2"/>
  <c r="P29" i="2"/>
  <c r="R28" i="2"/>
  <c r="P28" i="2"/>
  <c r="Q20" i="2"/>
  <c r="R20" i="2"/>
  <c r="R19" i="2"/>
  <c r="S19" i="2" s="1"/>
  <c r="P20" i="2"/>
  <c r="P19" i="2"/>
  <c r="Q19" i="2" s="1"/>
  <c r="N30" i="2"/>
  <c r="N31" i="2" s="1"/>
  <c r="N32" i="2" s="1"/>
  <c r="N33" i="2" s="1"/>
  <c r="L30" i="2"/>
  <c r="L31" i="2" s="1"/>
  <c r="L32" i="2" s="1"/>
  <c r="L33" i="2" s="1"/>
  <c r="N29" i="2"/>
  <c r="L29" i="2"/>
  <c r="C4" i="2"/>
  <c r="N20" i="2"/>
  <c r="N21" i="2" s="1"/>
  <c r="N22" i="2" s="1"/>
  <c r="N23" i="2" s="1"/>
  <c r="L20" i="2"/>
  <c r="L21" i="2" s="1"/>
  <c r="L22" i="2" s="1"/>
  <c r="L23" i="2" s="1"/>
  <c r="L24" i="2" s="1"/>
  <c r="N19" i="2"/>
  <c r="L19" i="2"/>
  <c r="K6" i="1" l="1"/>
  <c r="I9" i="1"/>
  <c r="J9" i="1" s="1"/>
  <c r="K9" i="1" s="1"/>
  <c r="E4" i="2"/>
  <c r="F4" i="2"/>
  <c r="S21" i="2"/>
  <c r="Q21" i="2"/>
  <c r="Q30" i="2"/>
  <c r="S30" i="2"/>
  <c r="Q22" i="2"/>
  <c r="F5" i="2" s="1"/>
  <c r="L34" i="2"/>
  <c r="F15" i="2" s="1"/>
  <c r="D4" i="2"/>
  <c r="F17" i="2" l="1"/>
  <c r="G21" i="2" s="1"/>
  <c r="Q31" i="2"/>
  <c r="F16" i="2" s="1"/>
  <c r="B11" i="1"/>
  <c r="F13" i="2" l="1"/>
  <c r="L4" i="2" l="1"/>
  <c r="L6" i="2"/>
  <c r="E6" i="2"/>
  <c r="F2" i="2"/>
  <c r="D2" i="2" l="1"/>
  <c r="K2" i="2" l="1"/>
  <c r="E13" i="2"/>
  <c r="G13" i="2" s="1"/>
  <c r="I13" i="2" s="1"/>
  <c r="E3" i="2"/>
  <c r="K6" i="2"/>
  <c r="C5" i="2"/>
  <c r="D5" i="2" s="1"/>
  <c r="D3" i="2"/>
  <c r="C3" i="2"/>
  <c r="G3" i="1"/>
  <c r="B10" i="1"/>
  <c r="K5" i="2" l="1"/>
  <c r="E16" i="2"/>
  <c r="G16" i="2" s="1"/>
  <c r="I16" i="2" s="1"/>
  <c r="E5" i="2"/>
  <c r="K3" i="2"/>
  <c r="F14" i="2"/>
  <c r="F3" i="2"/>
  <c r="K4" i="2"/>
  <c r="E15" i="2"/>
  <c r="G15" i="2" s="1"/>
  <c r="I15" i="2" s="1"/>
  <c r="K8" i="2"/>
  <c r="E14" i="2" l="1"/>
  <c r="G14" i="2" s="1"/>
  <c r="I14" i="2" s="1"/>
</calcChain>
</file>

<file path=xl/sharedStrings.xml><?xml version="1.0" encoding="utf-8"?>
<sst xmlns="http://schemas.openxmlformats.org/spreadsheetml/2006/main" count="117" uniqueCount="68">
  <si>
    <t>Y</t>
  </si>
  <si>
    <t>Z</t>
  </si>
  <si>
    <t>Precip</t>
  </si>
  <si>
    <t>Total/m2</t>
  </si>
  <si>
    <t>m/h</t>
  </si>
  <si>
    <t>m</t>
  </si>
  <si>
    <t>Total/CS</t>
  </si>
  <si>
    <t>m2</t>
  </si>
  <si>
    <t>Area</t>
  </si>
  <si>
    <t>between</t>
  </si>
  <si>
    <t>and</t>
  </si>
  <si>
    <t>T1</t>
  </si>
  <si>
    <t>T2</t>
  </si>
  <si>
    <t>T3</t>
  </si>
  <si>
    <t>T4</t>
  </si>
  <si>
    <t>T5</t>
  </si>
  <si>
    <t>length (m)</t>
  </si>
  <si>
    <t>avg width (m)</t>
  </si>
  <si>
    <t>total precip (m3)</t>
  </si>
  <si>
    <t>initial volume (m3)</t>
  </si>
  <si>
    <t xml:space="preserve"> model  total precip (m3)</t>
  </si>
  <si>
    <t xml:space="preserve">model initial volume (m3) </t>
  </si>
  <si>
    <t xml:space="preserve">Difference </t>
  </si>
  <si>
    <t>initial volume (m3) with additional grid point</t>
  </si>
  <si>
    <t>Total volume (m3)</t>
  </si>
  <si>
    <t>Area (m2)</t>
  </si>
  <si>
    <t>h (m)</t>
  </si>
  <si>
    <t>x</t>
  </si>
  <si>
    <t xml:space="preserve">width at 5 </t>
  </si>
  <si>
    <t xml:space="preserve">for the 500 width </t>
  </si>
  <si>
    <t xml:space="preserve">for the 100 width </t>
  </si>
  <si>
    <t>width at 5</t>
  </si>
  <si>
    <t>average width at 5</t>
  </si>
  <si>
    <t>width at 5.4023399016</t>
  </si>
  <si>
    <t>average width at 5.4023399016</t>
  </si>
  <si>
    <t>Initial</t>
  </si>
  <si>
    <t xml:space="preserve">Initial </t>
  </si>
  <si>
    <t>Final</t>
  </si>
  <si>
    <t>width</t>
  </si>
  <si>
    <t>depth</t>
  </si>
  <si>
    <t xml:space="preserve">width </t>
  </si>
  <si>
    <t>sec1</t>
  </si>
  <si>
    <t>sec2</t>
  </si>
  <si>
    <t>sec3</t>
  </si>
  <si>
    <t>depth sec1</t>
  </si>
  <si>
    <t>depth sec2</t>
  </si>
  <si>
    <t>new total flow width</t>
  </si>
  <si>
    <t>Area per sec</t>
  </si>
  <si>
    <t>Total Area</t>
  </si>
  <si>
    <t>Modelled h(m)</t>
  </si>
  <si>
    <t>Difference (m)</t>
  </si>
  <si>
    <t>Sub-model</t>
  </si>
  <si>
    <t>Total analytical precip (m3)</t>
  </si>
  <si>
    <t>Total</t>
  </si>
  <si>
    <t>Analytical water level (m)</t>
  </si>
  <si>
    <t>Modelled water level(m)</t>
  </si>
  <si>
    <t>Model water level -analytical water level</t>
  </si>
  <si>
    <t>-</t>
  </si>
  <si>
    <t>tan theta</t>
  </si>
  <si>
    <t>Initial volume (m3) with additional grid point</t>
  </si>
  <si>
    <t>Model  total precip (m3)</t>
  </si>
  <si>
    <t xml:space="preserve">Model initial volume (m3) </t>
  </si>
  <si>
    <t>Model initial volume - analytical volume (m3/)</t>
  </si>
  <si>
    <t>Model precip -analytical precip (m3)</t>
  </si>
  <si>
    <t>T6</t>
  </si>
  <si>
    <t>models</t>
  </si>
  <si>
    <t xml:space="preserve">Model Total  volume (m3) </t>
  </si>
  <si>
    <t>Analytical total volume (m3) with additional grid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</si>
</sst>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.00"/>
    <numFmt numFmtId="165" formatCode="0.000000000"/>
    <numFmt numFmtId="166" formatCode="0.000000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9">
    <xf numFmtId="0" fontId="0" fillId="0" borderId="0" xfId="0"/>
    <xf numFmtId="0" fontId="1" fillId="2" borderId="0" xfId="1"/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right" indent="1"/>
    </xf>
    <xf numFmtId="0" fontId="0" fillId="0" borderId="1" xfId="0" applyBorder="1" applyAlignment="1">
      <alignment vertic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4" fontId="0" fillId="0" borderId="1" xfId="0" applyNumberFormat="1" applyFont="1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166" fontId="0" fillId="0" borderId="0" xfId="0" applyNumberFormat="1" applyBorder="1"/>
    <xf numFmtId="2" fontId="0" fillId="0" borderId="0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2" fillId="0" borderId="11" xfId="0" applyFont="1" applyBorder="1"/>
    <xf numFmtId="1" fontId="2" fillId="0" borderId="11" xfId="0" applyNumberFormat="1" applyFont="1" applyBorder="1"/>
    <xf numFmtId="167" fontId="0" fillId="0" borderId="0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0.01</c:v>
                </c:pt>
                <c:pt idx="2">
                  <c:v>10</c:v>
                </c:pt>
                <c:pt idx="3">
                  <c:v>100</c:v>
                </c:pt>
                <c:pt idx="4">
                  <c:v>100.01</c:v>
                </c:pt>
                <c:pt idx="5">
                  <c:v>500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0-4EBC-94D2-2131146E9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52440"/>
        <c:axId val="148251456"/>
      </c:scatterChart>
      <c:valAx>
        <c:axId val="14825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51456"/>
        <c:crosses val="autoZero"/>
        <c:crossBetween val="midCat"/>
      </c:valAx>
      <c:valAx>
        <c:axId val="1482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52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480060</xdr:colOff>
      <xdr:row>3</xdr:row>
      <xdr:rowOff>100012</xdr:rowOff>
    </xdr:from>
    <xdr:to>
      <xdr:col>20</xdr:col>
      <xdr:colOff>175260</xdr:colOff>
      <xdr:row>18</xdr:row>
      <xdr:rowOff>130492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1A04B-49E7-4D45-8C85-245E13DD5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83EB-F45E-4CFE-BDAE-67FD203C21C1}">
  <dimension ref="A1:K11"/>
  <sheetViews>
    <sheetView workbookViewId="0">
      <selection activeCell="F20" sqref="F20"/>
    </sheetView>
  </sheetViews>
  <sheetFormatPr defaultRowHeight="14.4" x14ac:dyDescent="0.3"/>
  <cols>
    <col min="10" max="10" width="13.88671875" bestFit="1" customWidth="1"/>
  </cols>
  <sheetData>
    <row r="1" spans="1:11" x14ac:dyDescent="0.3">
      <c r="A1" t="s">
        <v>0</v>
      </c>
      <c r="B1" t="s">
        <v>1</v>
      </c>
      <c r="D1" t="s">
        <v>8</v>
      </c>
      <c r="E1" t="s">
        <v>9</v>
      </c>
      <c r="F1" t="s">
        <v>10</v>
      </c>
    </row>
    <row r="2" spans="1:11" x14ac:dyDescent="0.3">
      <c r="A2">
        <v>0</v>
      </c>
      <c r="B2">
        <v>10</v>
      </c>
      <c r="E2">
        <v>0</v>
      </c>
      <c r="F2">
        <v>5</v>
      </c>
      <c r="G2">
        <f>((A5-A3)+0)/2*(F2-E2)</f>
        <v>249.97499999999999</v>
      </c>
      <c r="H2" s="7" t="s">
        <v>42</v>
      </c>
    </row>
    <row r="3" spans="1:11" x14ac:dyDescent="0.3">
      <c r="A3">
        <v>0.01</v>
      </c>
      <c r="B3">
        <v>5</v>
      </c>
      <c r="E3">
        <v>5</v>
      </c>
      <c r="F3">
        <v>10</v>
      </c>
      <c r="G3" s="1">
        <f>((A5-A3)+(A6-A2))/2*(F3-E3)</f>
        <v>500</v>
      </c>
      <c r="H3" s="7" t="s">
        <v>38</v>
      </c>
      <c r="I3">
        <f>A6-(A5-A3)</f>
        <v>2.0000000000010232E-2</v>
      </c>
      <c r="J3" t="s">
        <v>58</v>
      </c>
      <c r="K3">
        <f>ATAN(I3/I4)</f>
        <v>3.9999786668735108E-3</v>
      </c>
    </row>
    <row r="4" spans="1:11" x14ac:dyDescent="0.3">
      <c r="A4">
        <v>10</v>
      </c>
      <c r="B4">
        <v>0</v>
      </c>
      <c r="E4">
        <v>10</v>
      </c>
      <c r="F4">
        <v>10.17080765</v>
      </c>
      <c r="G4" s="1">
        <f>((A6-A2)+((A6+(F4-E4)*200)-A2))/2*(F4-E4)</f>
        <v>19.999998406352304</v>
      </c>
      <c r="H4" s="7" t="s">
        <v>39</v>
      </c>
      <c r="I4">
        <v>5</v>
      </c>
      <c r="J4" t="s">
        <v>39</v>
      </c>
      <c r="K4">
        <f>Sheet2!G17-5</f>
        <v>1.1429453130000002</v>
      </c>
    </row>
    <row r="5" spans="1:11" x14ac:dyDescent="0.3">
      <c r="A5">
        <v>100</v>
      </c>
      <c r="B5">
        <v>5</v>
      </c>
      <c r="J5" t="s">
        <v>40</v>
      </c>
      <c r="K5">
        <f>TAN(K3)*K4</f>
        <v>4.5717812520023396E-3</v>
      </c>
    </row>
    <row r="6" spans="1:11" x14ac:dyDescent="0.3">
      <c r="A6">
        <v>100.01</v>
      </c>
      <c r="B6">
        <v>10</v>
      </c>
      <c r="J6" t="s">
        <v>46</v>
      </c>
      <c r="K6">
        <f>A5-A3+K5</f>
        <v>99.994571781251992</v>
      </c>
    </row>
    <row r="7" spans="1:11" x14ac:dyDescent="0.3">
      <c r="A7">
        <v>500</v>
      </c>
      <c r="B7">
        <v>12</v>
      </c>
      <c r="H7" s="12"/>
      <c r="I7" s="12"/>
      <c r="J7" s="12" t="s">
        <v>47</v>
      </c>
      <c r="K7" s="12" t="s">
        <v>48</v>
      </c>
    </row>
    <row r="8" spans="1:11" x14ac:dyDescent="0.3">
      <c r="H8" s="12" t="s">
        <v>41</v>
      </c>
      <c r="I8" s="12">
        <f>(A5-A3)</f>
        <v>99.99</v>
      </c>
      <c r="J8" s="12">
        <f>(I8*F2)/2</f>
        <v>249.97499999999999</v>
      </c>
      <c r="K8" s="10">
        <f>J8</f>
        <v>249.97499999999999</v>
      </c>
    </row>
    <row r="9" spans="1:11" x14ac:dyDescent="0.3">
      <c r="A9" t="s">
        <v>2</v>
      </c>
      <c r="B9">
        <v>1E-3</v>
      </c>
      <c r="C9" t="s">
        <v>4</v>
      </c>
      <c r="H9" s="12" t="s">
        <v>42</v>
      </c>
      <c r="I9" s="12">
        <f>K5</f>
        <v>4.5717812520023396E-3</v>
      </c>
      <c r="J9" s="12">
        <f>(I9*K4)/2</f>
        <v>2.6126479770186735E-3</v>
      </c>
      <c r="K9" s="47">
        <f>J10+J9</f>
        <v>114.28571449484704</v>
      </c>
    </row>
    <row r="10" spans="1:11" x14ac:dyDescent="0.3">
      <c r="A10" t="s">
        <v>3</v>
      </c>
      <c r="B10">
        <f>B9*24*10</f>
        <v>0.24</v>
      </c>
      <c r="C10" t="s">
        <v>5</v>
      </c>
      <c r="H10" s="12" t="s">
        <v>43</v>
      </c>
      <c r="I10" s="12">
        <f>A5-A3</f>
        <v>99.99</v>
      </c>
      <c r="J10" s="12">
        <f>I10*K4</f>
        <v>114.28310184687003</v>
      </c>
      <c r="K10" s="47"/>
    </row>
    <row r="11" spans="1:11" x14ac:dyDescent="0.3">
      <c r="A11" t="s">
        <v>6</v>
      </c>
      <c r="B11">
        <f>B10*500</f>
        <v>120</v>
      </c>
      <c r="C11" t="s">
        <v>7</v>
      </c>
      <c r="J11" s="2"/>
    </row>
  </sheetData>
  <mergeCells count="1">
    <mergeCell ref="K9:K10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40AB-0D66-4323-8FC9-CC1E40D1A606}">
  <dimension ref="A1:T34"/>
  <sheetViews>
    <sheetView workbookViewId="0">
      <selection activeCell="D8" sqref="D8"/>
    </sheetView>
  </sheetViews>
  <sheetFormatPr defaultRowHeight="14.4" x14ac:dyDescent="0.3"/>
  <cols>
    <col min="2" max="2" width="10" bestFit="1" customWidth="1"/>
    <col min="3" max="3" width="12.88671875" bestFit="1" customWidth="1"/>
    <col min="4" max="4" width="15.44140625" bestFit="1" customWidth="1"/>
    <col min="5" max="5" width="17.6640625" bestFit="1" customWidth="1"/>
    <col min="6" max="6" width="21.5546875" bestFit="1" customWidth="1"/>
    <col min="7" max="7" width="15.88671875" style="2" bestFit="1" customWidth="1"/>
    <col min="8" max="8" width="21.109375" bestFit="1" customWidth="1"/>
    <col min="9" max="9" width="16.88671875" customWidth="1"/>
    <col min="11" max="11" width="16.109375" bestFit="1" customWidth="1"/>
    <col min="12" max="12" width="15.5546875" bestFit="1" customWidth="1"/>
    <col min="13" max="13" width="19.88671875" bestFit="1" customWidth="1"/>
    <col min="14" max="14" width="12.44140625" bestFit="1" customWidth="1"/>
    <col min="16" max="16" width="16.109375" bestFit="1" customWidth="1"/>
  </cols>
  <sheetData>
    <row r="1" spans="1:14" ht="28.8" x14ac:dyDescent="0.3">
      <c r="A1" s="12" t="s">
        <v>51</v>
      </c>
      <c r="B1" s="12" t="s">
        <v>16</v>
      </c>
      <c r="C1" s="12" t="s">
        <v>17</v>
      </c>
      <c r="D1" s="12" t="s">
        <v>18</v>
      </c>
      <c r="E1" s="12" t="s">
        <v>19</v>
      </c>
      <c r="F1" s="18" t="s">
        <v>23</v>
      </c>
      <c r="H1" s="12" t="s">
        <v>20</v>
      </c>
      <c r="I1" s="12" t="s">
        <v>21</v>
      </c>
      <c r="J1" s="12"/>
      <c r="K1" s="48" t="s">
        <v>22</v>
      </c>
      <c r="L1" s="48"/>
    </row>
    <row r="2" spans="1:14" x14ac:dyDescent="0.3">
      <c r="A2" s="12" t="s">
        <v>11</v>
      </c>
      <c r="B2" s="12">
        <v>10000</v>
      </c>
      <c r="C2" s="12">
        <v>100</v>
      </c>
      <c r="D2" s="19">
        <f>C2*B2*Sheet1!$B$10</f>
        <v>240000</v>
      </c>
      <c r="E2" s="19">
        <f>C2*B2*5</f>
        <v>5000000</v>
      </c>
      <c r="F2" s="19">
        <f>(B2+500)*C2*5</f>
        <v>5250000</v>
      </c>
      <c r="H2" s="19">
        <v>240000</v>
      </c>
      <c r="I2" s="20">
        <v>5250000</v>
      </c>
      <c r="J2" s="19"/>
      <c r="K2" s="19">
        <f>D2-H2</f>
        <v>0</v>
      </c>
      <c r="L2" s="19">
        <v>0</v>
      </c>
      <c r="M2" s="4"/>
    </row>
    <row r="3" spans="1:14" x14ac:dyDescent="0.3">
      <c r="A3" s="12" t="s">
        <v>12</v>
      </c>
      <c r="B3" s="12">
        <v>10000</v>
      </c>
      <c r="C3" s="12">
        <f>(100+500)/2</f>
        <v>300</v>
      </c>
      <c r="D3" s="19">
        <f>C3*B3*Sheet1!$B$10</f>
        <v>720000</v>
      </c>
      <c r="E3" s="19">
        <f>C3*B3*5</f>
        <v>15000000</v>
      </c>
      <c r="F3" s="19">
        <f>(B3+500)*C3*5</f>
        <v>15750000</v>
      </c>
      <c r="H3" s="19">
        <v>720000</v>
      </c>
      <c r="I3" s="19">
        <v>15750000</v>
      </c>
      <c r="J3" s="19"/>
      <c r="K3" s="19">
        <f t="shared" ref="K3:K8" si="0">D3-H3</f>
        <v>0</v>
      </c>
      <c r="L3" s="19">
        <v>0</v>
      </c>
      <c r="M3" s="4"/>
    </row>
    <row r="4" spans="1:14" x14ac:dyDescent="0.3">
      <c r="A4" s="12" t="s">
        <v>13</v>
      </c>
      <c r="B4" s="12">
        <v>10000</v>
      </c>
      <c r="C4" s="12">
        <f>(100+500)/2</f>
        <v>300</v>
      </c>
      <c r="D4" s="19">
        <f>C4*B4*Sheet1!$B$10</f>
        <v>720000</v>
      </c>
      <c r="E4" s="19">
        <f>B4*(L24+(10+50)/2)*5/2</f>
        <v>4874999.9999999963</v>
      </c>
      <c r="F4" s="19">
        <f>(B4+500)*(L24+(10+50)/2)*5/2</f>
        <v>5118749.9999999963</v>
      </c>
      <c r="H4" s="19">
        <v>720000</v>
      </c>
      <c r="I4" s="19">
        <v>5118750</v>
      </c>
      <c r="J4" s="19"/>
      <c r="K4" s="19">
        <f>D4-H4</f>
        <v>0</v>
      </c>
      <c r="L4" s="19">
        <f>F4-I4</f>
        <v>0</v>
      </c>
      <c r="M4" s="4"/>
    </row>
    <row r="5" spans="1:14" x14ac:dyDescent="0.3">
      <c r="A5" s="12" t="s">
        <v>14</v>
      </c>
      <c r="B5" s="12">
        <v>10000</v>
      </c>
      <c r="C5" s="12">
        <f t="shared" ref="C5" si="1">(100+500)/2</f>
        <v>300</v>
      </c>
      <c r="D5" s="19">
        <f>C5*B5*Sheet1!$B$10</f>
        <v>720000</v>
      </c>
      <c r="E5" s="19">
        <f>B5*C5*5/2</f>
        <v>7500000</v>
      </c>
      <c r="F5" s="19">
        <f>(B5+500)*Q22*5/2</f>
        <v>3937500</v>
      </c>
      <c r="H5" s="19">
        <v>720000</v>
      </c>
      <c r="I5" s="19">
        <v>3937500</v>
      </c>
      <c r="J5" s="19"/>
      <c r="K5" s="19">
        <f t="shared" si="0"/>
        <v>0</v>
      </c>
      <c r="L5" s="19">
        <v>0</v>
      </c>
      <c r="M5" s="4"/>
    </row>
    <row r="6" spans="1:14" x14ac:dyDescent="0.3">
      <c r="A6" s="12" t="s">
        <v>15</v>
      </c>
      <c r="B6" s="12">
        <v>10000</v>
      </c>
      <c r="C6" s="12">
        <v>500</v>
      </c>
      <c r="D6" s="19">
        <f>C6*B6*Sheet1!$B$10</f>
        <v>1200000</v>
      </c>
      <c r="E6" s="19">
        <f>B6*Sheet1!G2</f>
        <v>2499750</v>
      </c>
      <c r="F6" s="19">
        <f>(B6+500)*Sheet1!G2</f>
        <v>2624737.5</v>
      </c>
      <c r="H6" s="19">
        <v>1200000</v>
      </c>
      <c r="I6" s="19">
        <v>2624737.5</v>
      </c>
      <c r="J6" s="19"/>
      <c r="K6" s="19">
        <f t="shared" si="0"/>
        <v>0</v>
      </c>
      <c r="L6" s="19">
        <f>F6-I6</f>
        <v>0</v>
      </c>
      <c r="M6" s="4"/>
      <c r="N6" s="4"/>
    </row>
    <row r="7" spans="1:14" s="2" customFormat="1" x14ac:dyDescent="0.3">
      <c r="A7" s="12" t="s">
        <v>64</v>
      </c>
      <c r="B7" s="12">
        <v>15000</v>
      </c>
      <c r="C7" s="12">
        <v>100</v>
      </c>
      <c r="D7" s="19">
        <f>C7*B7*Sheet1!$B$10</f>
        <v>360000</v>
      </c>
      <c r="E7" s="19">
        <f>C7*B7*5</f>
        <v>7500000</v>
      </c>
      <c r="F7" s="19">
        <f>(B7+750)*C7*5</f>
        <v>7875000</v>
      </c>
      <c r="H7" s="19">
        <v>360000</v>
      </c>
      <c r="I7" s="19">
        <v>7875000</v>
      </c>
      <c r="J7" s="19"/>
      <c r="K7" s="19">
        <f t="shared" ref="K7" si="2">D7-H7</f>
        <v>0</v>
      </c>
      <c r="L7" s="19">
        <f>F7-I7</f>
        <v>0</v>
      </c>
      <c r="M7" s="4"/>
      <c r="N7" s="4"/>
    </row>
    <row r="8" spans="1:14" x14ac:dyDescent="0.3">
      <c r="A8" s="12"/>
      <c r="B8" s="12"/>
      <c r="C8" s="12"/>
      <c r="D8" s="19">
        <f>SUM(D2:D7)</f>
        <v>3960000</v>
      </c>
      <c r="E8" s="19">
        <f>SUM(E2:E7)</f>
        <v>42374750</v>
      </c>
      <c r="F8" s="19">
        <f>SUM(F2:F7)</f>
        <v>40555987.5</v>
      </c>
      <c r="H8" s="19">
        <f>SUM(H2:H7)</f>
        <v>3960000</v>
      </c>
      <c r="I8" s="19">
        <f>SUM(I2:I7)</f>
        <v>40555987.5</v>
      </c>
      <c r="J8" s="19"/>
      <c r="K8" s="19">
        <f t="shared" si="0"/>
        <v>0</v>
      </c>
      <c r="L8" s="19">
        <f>F8-I8</f>
        <v>0</v>
      </c>
      <c r="M8" s="4"/>
      <c r="N8" s="4"/>
    </row>
    <row r="12" spans="1:14" x14ac:dyDescent="0.3">
      <c r="D12" s="17" t="s">
        <v>51</v>
      </c>
      <c r="E12" s="17" t="s">
        <v>24</v>
      </c>
      <c r="F12" s="17" t="s">
        <v>25</v>
      </c>
      <c r="G12" s="17" t="s">
        <v>26</v>
      </c>
      <c r="H12" s="17" t="s">
        <v>49</v>
      </c>
      <c r="I12" s="17" t="s">
        <v>50</v>
      </c>
    </row>
    <row r="13" spans="1:14" x14ac:dyDescent="0.3">
      <c r="D13" s="13" t="s">
        <v>11</v>
      </c>
      <c r="E13" s="14">
        <f t="shared" ref="E13:E18" si="3">D2+F2</f>
        <v>5490000</v>
      </c>
      <c r="F13" s="12">
        <f>(B2+500)*C2</f>
        <v>1050000</v>
      </c>
      <c r="G13" s="12">
        <f>E13/F13</f>
        <v>5.2285714285714286</v>
      </c>
      <c r="H13" s="12">
        <v>5.2285714289999996</v>
      </c>
      <c r="I13" s="14">
        <f>G13-H22</f>
        <v>0</v>
      </c>
    </row>
    <row r="14" spans="1:14" x14ac:dyDescent="0.3">
      <c r="D14" s="13" t="s">
        <v>12</v>
      </c>
      <c r="E14" s="14">
        <f t="shared" si="3"/>
        <v>16470000</v>
      </c>
      <c r="F14" s="12">
        <f>(B3+500)*C3</f>
        <v>3150000</v>
      </c>
      <c r="G14" s="12">
        <f t="shared" ref="G14" si="4">E14/F14</f>
        <v>5.2285714285714286</v>
      </c>
      <c r="H14" s="12">
        <v>5.2285714289999996</v>
      </c>
      <c r="I14" s="14">
        <f>G14-H22</f>
        <v>0</v>
      </c>
    </row>
    <row r="15" spans="1:14" x14ac:dyDescent="0.3">
      <c r="D15" s="13" t="s">
        <v>13</v>
      </c>
      <c r="E15" s="14">
        <f t="shared" si="3"/>
        <v>5838749.9999999963</v>
      </c>
      <c r="F15" s="15">
        <f>(B4+500)*(L34+(10+50)/2)</f>
        <v>2161563.3621035987</v>
      </c>
      <c r="G15" s="16">
        <f>E15*2/F15</f>
        <v>5.4023399011702518</v>
      </c>
      <c r="H15" s="12">
        <v>5.4023399012000004</v>
      </c>
      <c r="I15" s="14">
        <f>G15-H23</f>
        <v>0</v>
      </c>
    </row>
    <row r="16" spans="1:14" x14ac:dyDescent="0.3">
      <c r="D16" s="13" t="s">
        <v>14</v>
      </c>
      <c r="E16" s="14">
        <f t="shared" si="3"/>
        <v>4657500</v>
      </c>
      <c r="F16" s="15">
        <f>(B5+500)*Q31</f>
        <v>1712957.9681025003</v>
      </c>
      <c r="G16" s="12">
        <f>E16*2/F16</f>
        <v>5.4379618025995882</v>
      </c>
      <c r="H16" s="12">
        <v>5.4379618030000003</v>
      </c>
      <c r="I16" s="14">
        <f>G16-H24</f>
        <v>0</v>
      </c>
      <c r="L16" t="s">
        <v>36</v>
      </c>
    </row>
    <row r="17" spans="4:20" x14ac:dyDescent="0.3">
      <c r="D17" s="13" t="s">
        <v>15</v>
      </c>
      <c r="E17" s="14">
        <f t="shared" si="3"/>
        <v>3824737.5</v>
      </c>
      <c r="F17" s="15">
        <f>(Sheet1!K9+Sheet1!K8)</f>
        <v>364.26071449484704</v>
      </c>
      <c r="G17" s="12">
        <f>E21+F21</f>
        <v>6.1429453130000002</v>
      </c>
      <c r="H17" s="12">
        <f>6.142945313</f>
        <v>6.1429453130000002</v>
      </c>
      <c r="I17" s="14">
        <f t="shared" ref="I17:I18" si="5">G17-H17</f>
        <v>0</v>
      </c>
      <c r="L17" t="s">
        <v>13</v>
      </c>
      <c r="Q17" t="s">
        <v>35</v>
      </c>
    </row>
    <row r="18" spans="4:20" x14ac:dyDescent="0.3">
      <c r="D18" s="34" t="s">
        <v>64</v>
      </c>
      <c r="E18" s="14">
        <f t="shared" si="3"/>
        <v>8235000</v>
      </c>
      <c r="F18" s="12">
        <f>(B7+750)*C7</f>
        <v>1575000</v>
      </c>
      <c r="G18" s="12">
        <f>E18/F18</f>
        <v>5.2285714285714286</v>
      </c>
      <c r="H18" s="12">
        <v>5.2285714289999996</v>
      </c>
      <c r="I18" s="14">
        <f t="shared" si="5"/>
        <v>-4.2857095650106203E-10</v>
      </c>
      <c r="L18" t="s">
        <v>29</v>
      </c>
      <c r="N18" t="s">
        <v>30</v>
      </c>
      <c r="Q18" t="s">
        <v>14</v>
      </c>
    </row>
    <row r="19" spans="4:20" x14ac:dyDescent="0.3">
      <c r="K19">
        <v>225</v>
      </c>
      <c r="L19">
        <f>K19*2</f>
        <v>450</v>
      </c>
      <c r="M19">
        <v>45</v>
      </c>
      <c r="N19">
        <f>M19*2</f>
        <v>90</v>
      </c>
      <c r="P19">
        <f>ATAN(90/10)</f>
        <v>1.4601391056210009</v>
      </c>
      <c r="Q19">
        <f>TAN(P19)*5</f>
        <v>44.999999999999972</v>
      </c>
      <c r="R19" s="2">
        <f>ATAN(400/10)</f>
        <v>1.5458015331759765</v>
      </c>
      <c r="S19">
        <f>TAN(R19)*5</f>
        <v>200</v>
      </c>
    </row>
    <row r="20" spans="4:20" x14ac:dyDescent="0.3">
      <c r="E20" s="11" t="s">
        <v>44</v>
      </c>
      <c r="F20" s="3" t="s">
        <v>45</v>
      </c>
      <c r="G20" s="2" t="s">
        <v>24</v>
      </c>
      <c r="I20" s="2"/>
      <c r="K20">
        <v>10</v>
      </c>
      <c r="L20">
        <f>K19/K20</f>
        <v>22.5</v>
      </c>
      <c r="M20">
        <v>10</v>
      </c>
      <c r="N20">
        <f>M19/M20</f>
        <v>4.5</v>
      </c>
      <c r="P20">
        <f>ATAN(10/10)</f>
        <v>0.78539816339744828</v>
      </c>
      <c r="Q20" s="2">
        <f>TAN(P20)*5</f>
        <v>4.9999999999999991</v>
      </c>
      <c r="R20">
        <f>ATAN(100/10)</f>
        <v>1.4711276743037347</v>
      </c>
      <c r="S20">
        <f>TAN(R20)*5</f>
        <v>50.000000000000057</v>
      </c>
    </row>
    <row r="21" spans="4:20" x14ac:dyDescent="0.3">
      <c r="D21" s="7" t="s">
        <v>15</v>
      </c>
      <c r="E21" s="3">
        <v>5</v>
      </c>
      <c r="F21" s="3">
        <v>1.142945313</v>
      </c>
      <c r="G21" s="2">
        <f>F17*(B6+500)</f>
        <v>3824737.5021958938</v>
      </c>
      <c r="I21" s="2"/>
      <c r="K21" t="s">
        <v>58</v>
      </c>
      <c r="L21">
        <f>ATAN(L20)</f>
        <v>1.5263811115479857</v>
      </c>
      <c r="M21">
        <v>5</v>
      </c>
      <c r="N21">
        <f>ATAN(N20)</f>
        <v>1.3521273809209546</v>
      </c>
      <c r="Q21">
        <f>Q20+Q19</f>
        <v>49.999999999999972</v>
      </c>
      <c r="S21">
        <f>SUM(S19:S20)</f>
        <v>250.00000000000006</v>
      </c>
      <c r="T21" s="2"/>
    </row>
    <row r="22" spans="4:20" x14ac:dyDescent="0.3">
      <c r="H22">
        <v>5.2285714285714304</v>
      </c>
      <c r="I22" s="8"/>
      <c r="K22" s="9" t="s">
        <v>27</v>
      </c>
      <c r="L22">
        <f>TAN(L21)*M21</f>
        <v>112.49999999999986</v>
      </c>
      <c r="M22" s="7" t="s">
        <v>27</v>
      </c>
      <c r="N22">
        <f>TAN(N21)*M21</f>
        <v>22.499999999999996</v>
      </c>
      <c r="P22" s="2" t="s">
        <v>32</v>
      </c>
      <c r="Q22">
        <f>(Q21+S21)/2</f>
        <v>150</v>
      </c>
    </row>
    <row r="23" spans="4:20" x14ac:dyDescent="0.3">
      <c r="H23">
        <v>5.4023399011702518</v>
      </c>
      <c r="K23" t="s">
        <v>28</v>
      </c>
      <c r="L23">
        <f>L22*2+50</f>
        <v>274.99999999999972</v>
      </c>
      <c r="M23" t="s">
        <v>31</v>
      </c>
      <c r="N23">
        <f>N22*2+10</f>
        <v>54.999999999999993</v>
      </c>
    </row>
    <row r="24" spans="4:20" x14ac:dyDescent="0.3">
      <c r="H24">
        <v>5.4379618025995882</v>
      </c>
      <c r="K24" t="s">
        <v>32</v>
      </c>
      <c r="L24">
        <f>(L23+N23)/2</f>
        <v>164.99999999999986</v>
      </c>
    </row>
    <row r="26" spans="4:20" x14ac:dyDescent="0.3">
      <c r="L26" t="s">
        <v>37</v>
      </c>
      <c r="Q26" t="s">
        <v>37</v>
      </c>
    </row>
    <row r="27" spans="4:20" x14ac:dyDescent="0.3">
      <c r="K27" s="2"/>
      <c r="L27" s="2" t="s">
        <v>13</v>
      </c>
      <c r="M27" s="2"/>
      <c r="N27" s="2"/>
      <c r="P27" s="2"/>
      <c r="Q27" s="2" t="s">
        <v>14</v>
      </c>
      <c r="R27" s="2"/>
      <c r="S27" s="2"/>
    </row>
    <row r="28" spans="4:20" x14ac:dyDescent="0.3">
      <c r="K28" s="2"/>
      <c r="L28" s="2" t="s">
        <v>29</v>
      </c>
      <c r="M28" s="2"/>
      <c r="N28" s="2" t="s">
        <v>30</v>
      </c>
      <c r="P28" s="2">
        <f>ATAN(90/10)</f>
        <v>1.4601391056210009</v>
      </c>
      <c r="Q28" s="2">
        <f>TAN(P28)*5.4379618035</f>
        <v>48.941656231499977</v>
      </c>
      <c r="R28" s="2">
        <f>ATAN(400/10)</f>
        <v>1.5458015331759765</v>
      </c>
      <c r="S28" s="2">
        <f>TAN(R28)*5.4379618035</f>
        <v>217.51847214000003</v>
      </c>
    </row>
    <row r="29" spans="4:20" x14ac:dyDescent="0.3">
      <c r="K29" s="2">
        <v>225</v>
      </c>
      <c r="L29" s="2">
        <f>K29*2</f>
        <v>450</v>
      </c>
      <c r="M29" s="2">
        <v>45</v>
      </c>
      <c r="N29" s="2">
        <f>M29*2</f>
        <v>90</v>
      </c>
      <c r="P29" s="2">
        <f>ATAN(10/10)</f>
        <v>0.78539816339744828</v>
      </c>
      <c r="Q29" s="2">
        <f>TAN(P29)*5.4379618035</f>
        <v>5.4379618034999995</v>
      </c>
      <c r="R29" s="2">
        <f>ATAN(100/10)</f>
        <v>1.4711276743037347</v>
      </c>
      <c r="S29" s="2">
        <f>TAN(R29)*5.4379618035</f>
        <v>54.379618035000064</v>
      </c>
    </row>
    <row r="30" spans="4:20" x14ac:dyDescent="0.3">
      <c r="K30" s="2">
        <v>10</v>
      </c>
      <c r="L30" s="2">
        <f>K29/K30</f>
        <v>22.5</v>
      </c>
      <c r="M30" s="2">
        <v>10</v>
      </c>
      <c r="N30" s="2">
        <f>M29/M30</f>
        <v>4.5</v>
      </c>
      <c r="P30" s="2"/>
      <c r="Q30" s="2">
        <f>Q29+Q28</f>
        <v>54.379618034999979</v>
      </c>
      <c r="R30" s="2"/>
      <c r="S30" s="2">
        <f>SUM(S28:S29)</f>
        <v>271.89809017500011</v>
      </c>
    </row>
    <row r="31" spans="4:20" x14ac:dyDescent="0.3">
      <c r="K31" s="2" t="s">
        <v>58</v>
      </c>
      <c r="L31" s="2">
        <f>ATAN(L30)</f>
        <v>1.5263811115479857</v>
      </c>
      <c r="M31" s="2">
        <v>5.4023399016000004</v>
      </c>
      <c r="N31" s="2">
        <f>ATAN(N30)</f>
        <v>1.3521273809209546</v>
      </c>
      <c r="P31" s="2" t="s">
        <v>32</v>
      </c>
      <c r="Q31" s="2">
        <f>(Q30+S30)/2</f>
        <v>163.13885410500004</v>
      </c>
      <c r="R31" s="2"/>
      <c r="S31" s="2"/>
    </row>
    <row r="32" spans="4:20" x14ac:dyDescent="0.3">
      <c r="K32" s="9" t="s">
        <v>27</v>
      </c>
      <c r="L32" s="2">
        <f>TAN(L31)*M31</f>
        <v>121.55264778599985</v>
      </c>
      <c r="M32" s="7" t="s">
        <v>27</v>
      </c>
      <c r="N32" s="2">
        <f>TAN(N31)*M31</f>
        <v>24.310529557199999</v>
      </c>
    </row>
    <row r="33" spans="11:14" x14ac:dyDescent="0.3">
      <c r="K33" s="2" t="s">
        <v>33</v>
      </c>
      <c r="L33" s="2">
        <f>L32*2+50</f>
        <v>293.1052955719997</v>
      </c>
      <c r="M33" s="2" t="s">
        <v>33</v>
      </c>
      <c r="N33" s="2">
        <f>N32*2+10</f>
        <v>58.621059114399998</v>
      </c>
    </row>
    <row r="34" spans="11:14" x14ac:dyDescent="0.3">
      <c r="K34" s="2" t="s">
        <v>34</v>
      </c>
      <c r="L34" s="2">
        <f>(L33+N33)/2</f>
        <v>175.86317734319985</v>
      </c>
      <c r="M34" s="2"/>
      <c r="N34" s="2"/>
    </row>
  </sheetData>
  <mergeCells count="1">
    <mergeCell ref="K1:L1"/>
  </mergeCells>
  <pageMargins left="0.7" right="0.7" top="0.75" bottom="0.75" header="0.3" footer="0.3"/>
  <pageSetup paperSize="9" orientation="portrait" r:id="rId1"/>
  <ignoredErrors>
    <ignoredError sqref="F15 Q19 R19:R20 R28:R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7F40-1C2F-4467-BCA3-625559B43815}">
  <dimension ref="A2:U10"/>
  <sheetViews>
    <sheetView tabSelected="1" topLeftCell="F1" workbookViewId="0">
      <selection activeCell="M15" sqref="M15"/>
    </sheetView>
  </sheetViews>
  <sheetFormatPr defaultRowHeight="14.4" x14ac:dyDescent="0.3"/>
  <cols>
    <col min="2" max="2" width="11.44140625" customWidth="1"/>
    <col min="3" max="3" width="13.21875" bestFit="1" customWidth="1"/>
    <col min="4" max="4" width="8" bestFit="1" customWidth="1"/>
    <col min="5" max="5" width="11" bestFit="1" customWidth="1"/>
    <col min="6" max="6" width="10.6640625" style="2" customWidth="1"/>
    <col min="7" max="7" width="9.88671875" style="2" customWidth="1"/>
    <col min="8" max="8" width="11.5546875" customWidth="1"/>
    <col min="9" max="9" width="12.109375" customWidth="1"/>
    <col min="10" max="10" width="10.6640625" customWidth="1"/>
    <col min="17" max="17" width="9.5546875" bestFit="1" customWidth="1"/>
    <col min="19" max="19" width="11" bestFit="1" customWidth="1"/>
    <col min="20" max="21" width="9.5546875" bestFit="1" customWidth="1"/>
  </cols>
  <sheetData>
    <row r="2" spans="1:21" s="5" customFormat="1" ht="86.4" x14ac:dyDescent="0.3">
      <c r="A2" s="32" t="s">
        <v>51</v>
      </c>
      <c r="B2" s="31" t="s">
        <v>52</v>
      </c>
      <c r="C2" s="31" t="s">
        <v>59</v>
      </c>
      <c r="D2" s="31" t="s">
        <v>60</v>
      </c>
      <c r="E2" s="31" t="s">
        <v>61</v>
      </c>
      <c r="F2" s="31" t="s">
        <v>54</v>
      </c>
      <c r="G2" s="31" t="s">
        <v>55</v>
      </c>
      <c r="H2" s="31" t="s">
        <v>63</v>
      </c>
      <c r="I2" s="31" t="s">
        <v>62</v>
      </c>
      <c r="J2" s="33" t="s">
        <v>56</v>
      </c>
      <c r="N2" s="35" t="s">
        <v>65</v>
      </c>
      <c r="O2" s="36" t="s">
        <v>60</v>
      </c>
      <c r="P2" s="36" t="s">
        <v>66</v>
      </c>
      <c r="Q2" s="36" t="s">
        <v>55</v>
      </c>
      <c r="R2" s="36" t="s">
        <v>52</v>
      </c>
      <c r="S2" s="36" t="s">
        <v>67</v>
      </c>
      <c r="T2" s="36" t="s">
        <v>54</v>
      </c>
      <c r="U2" s="37" t="s">
        <v>56</v>
      </c>
    </row>
    <row r="3" spans="1:21" x14ac:dyDescent="0.3">
      <c r="A3" s="21" t="s">
        <v>11</v>
      </c>
      <c r="B3" s="22">
        <v>240000</v>
      </c>
      <c r="C3" s="22">
        <v>5250000</v>
      </c>
      <c r="D3" s="22">
        <v>240000</v>
      </c>
      <c r="E3" s="22">
        <v>5250000</v>
      </c>
      <c r="F3" s="22">
        <v>5.2285714285714286</v>
      </c>
      <c r="G3" s="22">
        <v>5.2285714289999996</v>
      </c>
      <c r="H3" s="26">
        <v>0</v>
      </c>
      <c r="I3" s="26">
        <v>0</v>
      </c>
      <c r="J3" s="27">
        <v>0</v>
      </c>
      <c r="N3" s="21" t="s">
        <v>11</v>
      </c>
      <c r="O3" s="22">
        <v>240000</v>
      </c>
      <c r="P3" s="22">
        <v>5490000</v>
      </c>
      <c r="Q3" s="45">
        <v>5.2285714289999996</v>
      </c>
      <c r="R3" s="22">
        <v>240000</v>
      </c>
      <c r="S3" s="22">
        <v>5490000</v>
      </c>
      <c r="T3" s="45">
        <v>5.2285714285714286</v>
      </c>
      <c r="U3" s="41">
        <v>0</v>
      </c>
    </row>
    <row r="4" spans="1:21" x14ac:dyDescent="0.3">
      <c r="A4" s="21" t="s">
        <v>12</v>
      </c>
      <c r="B4" s="22">
        <v>720000</v>
      </c>
      <c r="C4" s="22">
        <v>15750000</v>
      </c>
      <c r="D4" s="22">
        <v>720000</v>
      </c>
      <c r="E4" s="22">
        <v>15750000</v>
      </c>
      <c r="F4" s="22">
        <v>5.2285714285714286</v>
      </c>
      <c r="G4" s="22">
        <v>5.2285714289999996</v>
      </c>
      <c r="H4" s="26">
        <v>0</v>
      </c>
      <c r="I4" s="26">
        <v>0</v>
      </c>
      <c r="J4" s="27">
        <v>0</v>
      </c>
      <c r="N4" s="21" t="s">
        <v>12</v>
      </c>
      <c r="O4" s="22">
        <v>720000</v>
      </c>
      <c r="P4" s="22">
        <v>16470000</v>
      </c>
      <c r="Q4" s="45">
        <v>5.2285714289999996</v>
      </c>
      <c r="R4" s="22">
        <v>720000</v>
      </c>
      <c r="S4" s="22">
        <v>16470000</v>
      </c>
      <c r="T4" s="45">
        <v>5.2285714285714286</v>
      </c>
      <c r="U4" s="41">
        <v>0</v>
      </c>
    </row>
    <row r="5" spans="1:21" x14ac:dyDescent="0.3">
      <c r="A5" s="21" t="s">
        <v>13</v>
      </c>
      <c r="B5" s="22">
        <v>720000</v>
      </c>
      <c r="C5" s="22">
        <v>5118749.9999999963</v>
      </c>
      <c r="D5" s="22">
        <v>720000</v>
      </c>
      <c r="E5" s="22">
        <v>5118750</v>
      </c>
      <c r="F5" s="25">
        <v>5.4023399011702518</v>
      </c>
      <c r="G5" s="25">
        <v>5.4023399012000004</v>
      </c>
      <c r="H5" s="26">
        <v>0</v>
      </c>
      <c r="I5" s="26">
        <v>0</v>
      </c>
      <c r="J5" s="27">
        <v>0</v>
      </c>
      <c r="N5" s="21" t="s">
        <v>13</v>
      </c>
      <c r="O5" s="22">
        <v>720000</v>
      </c>
      <c r="P5" s="22">
        <v>5838749.9999999963</v>
      </c>
      <c r="Q5" s="45">
        <v>5.4023399012000004</v>
      </c>
      <c r="R5" s="22">
        <v>720000</v>
      </c>
      <c r="S5" s="22">
        <v>5838749.9999999963</v>
      </c>
      <c r="T5" s="45">
        <v>5.4023399011702518</v>
      </c>
      <c r="U5" s="41">
        <v>0</v>
      </c>
    </row>
    <row r="6" spans="1:21" x14ac:dyDescent="0.3">
      <c r="A6" s="21" t="s">
        <v>14</v>
      </c>
      <c r="B6" s="22">
        <v>720000</v>
      </c>
      <c r="C6" s="22">
        <v>3937500</v>
      </c>
      <c r="D6" s="22">
        <v>720000</v>
      </c>
      <c r="E6" s="22">
        <v>3937500</v>
      </c>
      <c r="F6" s="22">
        <v>5.4379618025995882</v>
      </c>
      <c r="G6" s="22">
        <v>5.4379618030000003</v>
      </c>
      <c r="H6" s="26">
        <v>0</v>
      </c>
      <c r="I6" s="26">
        <v>0</v>
      </c>
      <c r="J6" s="27">
        <v>0</v>
      </c>
      <c r="N6" s="21" t="s">
        <v>14</v>
      </c>
      <c r="O6" s="22">
        <v>720000</v>
      </c>
      <c r="P6" s="22">
        <v>4657500</v>
      </c>
      <c r="Q6" s="45">
        <v>5.4379618030000003</v>
      </c>
      <c r="R6" s="22">
        <v>720000</v>
      </c>
      <c r="S6" s="22">
        <v>4657500</v>
      </c>
      <c r="T6" s="45">
        <v>5.4379618025995882</v>
      </c>
      <c r="U6" s="41">
        <v>0</v>
      </c>
    </row>
    <row r="7" spans="1:21" x14ac:dyDescent="0.3">
      <c r="A7" s="21" t="s">
        <v>15</v>
      </c>
      <c r="B7" s="22">
        <v>1200000</v>
      </c>
      <c r="C7" s="22">
        <v>2624737.5</v>
      </c>
      <c r="D7" s="22">
        <v>1200000</v>
      </c>
      <c r="E7" s="22">
        <v>2624737.5</v>
      </c>
      <c r="F7" s="22">
        <v>6.1429453130000002</v>
      </c>
      <c r="G7" s="22">
        <v>6.1429453130000002</v>
      </c>
      <c r="H7" s="26">
        <v>0</v>
      </c>
      <c r="I7" s="26">
        <v>0</v>
      </c>
      <c r="J7" s="27">
        <v>0</v>
      </c>
      <c r="N7" s="21" t="s">
        <v>15</v>
      </c>
      <c r="O7" s="22">
        <v>1200000</v>
      </c>
      <c r="P7" s="22">
        <v>3824737.5</v>
      </c>
      <c r="Q7" s="45">
        <v>6.1429453130000002</v>
      </c>
      <c r="R7" s="22">
        <v>1200000</v>
      </c>
      <c r="S7" s="22">
        <v>3824737.5</v>
      </c>
      <c r="T7" s="45">
        <v>6.1429453130000002</v>
      </c>
      <c r="U7" s="41">
        <v>0</v>
      </c>
    </row>
    <row r="8" spans="1:21" s="2" customFormat="1" x14ac:dyDescent="0.3">
      <c r="A8" s="21" t="s">
        <v>64</v>
      </c>
      <c r="B8" s="22">
        <v>360000</v>
      </c>
      <c r="C8" s="22">
        <v>7875000</v>
      </c>
      <c r="D8" s="22">
        <v>360000</v>
      </c>
      <c r="E8" s="22">
        <v>7875000</v>
      </c>
      <c r="F8" s="22">
        <v>5.2285714285714286</v>
      </c>
      <c r="G8" s="22">
        <v>5.2285714289999996</v>
      </c>
      <c r="H8" s="26">
        <v>0</v>
      </c>
      <c r="I8" s="26">
        <v>0</v>
      </c>
      <c r="J8" s="27">
        <v>0</v>
      </c>
      <c r="N8" s="38" t="s">
        <v>64</v>
      </c>
      <c r="O8" s="39">
        <v>360000</v>
      </c>
      <c r="P8" s="39">
        <v>8235000</v>
      </c>
      <c r="Q8" s="46">
        <v>5.2285714289999996</v>
      </c>
      <c r="R8" s="39">
        <v>360000</v>
      </c>
      <c r="S8" s="39">
        <v>8235000</v>
      </c>
      <c r="T8" s="46">
        <v>5.2285714289999996</v>
      </c>
      <c r="U8" s="42">
        <v>0</v>
      </c>
    </row>
    <row r="9" spans="1:21" x14ac:dyDescent="0.3">
      <c r="A9" s="23" t="s">
        <v>53</v>
      </c>
      <c r="B9" s="24">
        <v>3600000</v>
      </c>
      <c r="C9" s="24">
        <v>32680987.499999996</v>
      </c>
      <c r="D9" s="24">
        <v>3600000</v>
      </c>
      <c r="E9" s="24">
        <v>32680987.5</v>
      </c>
      <c r="F9" s="30" t="s">
        <v>57</v>
      </c>
      <c r="G9" s="30" t="s">
        <v>57</v>
      </c>
      <c r="H9" s="28">
        <v>0</v>
      </c>
      <c r="I9" s="28">
        <v>0</v>
      </c>
      <c r="J9" s="29">
        <v>0</v>
      </c>
      <c r="N9" s="38" t="s">
        <v>53</v>
      </c>
      <c r="O9" s="43">
        <v>3960000</v>
      </c>
      <c r="P9" s="43">
        <v>40555987.5</v>
      </c>
      <c r="Q9" s="39" t="s">
        <v>57</v>
      </c>
      <c r="R9" s="43">
        <v>3600000</v>
      </c>
      <c r="S9" s="44">
        <v>3960000</v>
      </c>
      <c r="T9" s="39" t="s">
        <v>57</v>
      </c>
      <c r="U9" s="40" t="s">
        <v>57</v>
      </c>
    </row>
    <row r="10" spans="1:21" x14ac:dyDescent="0.3">
      <c r="P10" s="6">
        <f>P9/1000000</f>
        <v>40.555987500000001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Jagers</dc:creator>
  <cp:lastModifiedBy>Eskedar Gebremedhin</cp:lastModifiedBy>
  <dcterms:created xsi:type="dcterms:W3CDTF">2019-08-20T13:16:33Z</dcterms:created>
  <dcterms:modified xsi:type="dcterms:W3CDTF">2019-10-09T18:56:01Z</dcterms:modified>
</cp:coreProperties>
</file>