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HU\Tests\cases\e02_dflowfm\f105_cross-sections\c08_YZ-profile-storage\analysis\"/>
    </mc:Choice>
  </mc:AlternateContent>
  <xr:revisionPtr revIDLastSave="0" documentId="13_ncr:1_{61FE0B9F-2BF2-48E3-BF39-3A3566DDF8E5}" xr6:coauthVersionLast="41" xr6:coauthVersionMax="41" xr10:uidLastSave="{00000000-0000-0000-0000-000000000000}"/>
  <bookViews>
    <workbookView xWindow="-120" yWindow="-120" windowWidth="29040" windowHeight="15840" xr2:uid="{19B4DE77-EAA6-4E04-B071-D8E921041E2D}"/>
  </bookViews>
  <sheets>
    <sheet name="T1" sheetId="3" r:id="rId1"/>
    <sheet name="T2" sheetId="4" r:id="rId2"/>
    <sheet name="T3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10" i="4" l="1"/>
  <c r="F48" i="5" l="1"/>
  <c r="F7" i="5" l="1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9" i="5"/>
  <c r="F50" i="5"/>
  <c r="F51" i="5"/>
  <c r="F52" i="5"/>
  <c r="F53" i="5"/>
  <c r="F54" i="5"/>
  <c r="F55" i="5"/>
  <c r="F56" i="5"/>
  <c r="F6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27" i="5"/>
  <c r="E7" i="5" l="1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6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28" i="5"/>
  <c r="D27" i="5"/>
  <c r="C7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6" i="5"/>
  <c r="C17" i="4" l="1"/>
  <c r="B5" i="4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D30" i="4"/>
  <c r="J30" i="4" s="1"/>
  <c r="D31" i="4"/>
  <c r="J31" i="4" s="1"/>
  <c r="D32" i="4"/>
  <c r="J32" i="4" s="1"/>
  <c r="D33" i="4"/>
  <c r="D34" i="4"/>
  <c r="D35" i="4"/>
  <c r="D36" i="4"/>
  <c r="J36" i="4" s="1"/>
  <c r="D37" i="4"/>
  <c r="D38" i="4"/>
  <c r="D39" i="4"/>
  <c r="J39" i="4" s="1"/>
  <c r="D40" i="4"/>
  <c r="J40" i="4" s="1"/>
  <c r="D41" i="4"/>
  <c r="J41" i="4" s="1"/>
  <c r="D42" i="4"/>
  <c r="J42" i="4" s="1"/>
  <c r="D43" i="4"/>
  <c r="J43" i="4" s="1"/>
  <c r="D44" i="4"/>
  <c r="J44" i="4" s="1"/>
  <c r="D45" i="4"/>
  <c r="D46" i="4"/>
  <c r="D47" i="4"/>
  <c r="D48" i="4"/>
  <c r="D49" i="4"/>
  <c r="D50" i="4"/>
  <c r="J50" i="4" s="1"/>
  <c r="D51" i="4"/>
  <c r="J51" i="4" s="1"/>
  <c r="D52" i="4"/>
  <c r="J52" i="4" s="1"/>
  <c r="D53" i="4"/>
  <c r="J53" i="4" s="1"/>
  <c r="D54" i="4"/>
  <c r="J54" i="4" s="1"/>
  <c r="D55" i="4"/>
  <c r="J55" i="4" s="1"/>
  <c r="D56" i="4"/>
  <c r="J56" i="4" s="1"/>
  <c r="D57" i="4"/>
  <c r="D58" i="4"/>
  <c r="C29" i="4"/>
  <c r="N9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31" i="4" s="1"/>
  <c r="N8" i="4"/>
  <c r="C9" i="4"/>
  <c r="F9" i="4" s="1"/>
  <c r="D29" i="4"/>
  <c r="E29" i="4" s="1"/>
  <c r="C28" i="4"/>
  <c r="N42" i="4" l="1"/>
  <c r="N41" i="4"/>
  <c r="N40" i="4"/>
  <c r="N35" i="4"/>
  <c r="N30" i="4"/>
  <c r="N37" i="4"/>
  <c r="N29" i="4"/>
  <c r="N47" i="4"/>
  <c r="N54" i="4"/>
  <c r="N53" i="4"/>
  <c r="N52" i="4"/>
  <c r="N49" i="4"/>
  <c r="K39" i="4"/>
  <c r="H9" i="4"/>
  <c r="K55" i="4"/>
  <c r="K33" i="4"/>
  <c r="K56" i="4"/>
  <c r="K34" i="4"/>
  <c r="K45" i="4"/>
  <c r="L29" i="4"/>
  <c r="G9" i="4"/>
  <c r="K58" i="4"/>
  <c r="K57" i="4"/>
  <c r="K30" i="4"/>
  <c r="K49" i="4"/>
  <c r="J29" i="4"/>
  <c r="K46" i="4"/>
  <c r="K54" i="4"/>
  <c r="K53" i="4"/>
  <c r="K52" i="4"/>
  <c r="G28" i="4"/>
  <c r="K43" i="4"/>
  <c r="K44" i="4"/>
  <c r="K38" i="4"/>
  <c r="K42" i="4"/>
  <c r="K37" i="4"/>
  <c r="K41" i="4"/>
  <c r="K48" i="4"/>
  <c r="K36" i="4"/>
  <c r="K32" i="4"/>
  <c r="F28" i="4"/>
  <c r="K47" i="4"/>
  <c r="K35" i="4"/>
  <c r="K31" i="4"/>
  <c r="J49" i="4"/>
  <c r="J47" i="4"/>
  <c r="J35" i="4"/>
  <c r="J46" i="4"/>
  <c r="J34" i="4"/>
  <c r="K40" i="4"/>
  <c r="J38" i="4"/>
  <c r="J37" i="4"/>
  <c r="J48" i="4"/>
  <c r="H28" i="4"/>
  <c r="I28" i="4" s="1"/>
  <c r="I29" i="4" s="1"/>
  <c r="J58" i="4"/>
  <c r="J57" i="4"/>
  <c r="J45" i="4"/>
  <c r="J33" i="4"/>
  <c r="K51" i="4"/>
  <c r="K50" i="4"/>
  <c r="K29" i="4"/>
  <c r="N51" i="4"/>
  <c r="N39" i="4"/>
  <c r="N50" i="4"/>
  <c r="N38" i="4"/>
  <c r="N48" i="4"/>
  <c r="N36" i="4"/>
  <c r="N58" i="4"/>
  <c r="N46" i="4"/>
  <c r="N34" i="4"/>
  <c r="N57" i="4"/>
  <c r="N45" i="4"/>
  <c r="N33" i="4"/>
  <c r="N56" i="4"/>
  <c r="N44" i="4"/>
  <c r="N32" i="4"/>
  <c r="N55" i="4"/>
  <c r="N43" i="4"/>
  <c r="K28" i="3"/>
  <c r="K27" i="3"/>
  <c r="W25" i="3"/>
  <c r="U25" i="3"/>
  <c r="R25" i="3"/>
  <c r="N25" i="3"/>
  <c r="L25" i="3"/>
  <c r="C32" i="4"/>
  <c r="B7" i="3"/>
  <c r="M29" i="4" l="1"/>
  <c r="C53" i="3"/>
  <c r="C56" i="3"/>
  <c r="C51" i="3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27" i="5"/>
  <c r="C8" i="5"/>
  <c r="G8" i="5" s="1"/>
  <c r="C9" i="5"/>
  <c r="G9" i="5" s="1"/>
  <c r="C10" i="5"/>
  <c r="G10" i="5" s="1"/>
  <c r="C11" i="5"/>
  <c r="G11" i="5" s="1"/>
  <c r="C12" i="5"/>
  <c r="G12" i="5" s="1"/>
  <c r="C13" i="5"/>
  <c r="G13" i="5" s="1"/>
  <c r="C14" i="5"/>
  <c r="G14" i="5" s="1"/>
  <c r="C15" i="5"/>
  <c r="G15" i="5" s="1"/>
  <c r="C16" i="5"/>
  <c r="G16" i="5" s="1"/>
  <c r="C17" i="5"/>
  <c r="G17" i="5" s="1"/>
  <c r="C18" i="5"/>
  <c r="G18" i="5" s="1"/>
  <c r="C19" i="5"/>
  <c r="G19" i="5" s="1"/>
  <c r="C20" i="5"/>
  <c r="G20" i="5" s="1"/>
  <c r="C21" i="5"/>
  <c r="G21" i="5" s="1"/>
  <c r="C22" i="5"/>
  <c r="G22" i="5" s="1"/>
  <c r="C23" i="5"/>
  <c r="G23" i="5" s="1"/>
  <c r="C24" i="5"/>
  <c r="G24" i="5" s="1"/>
  <c r="C25" i="5"/>
  <c r="G25" i="5" s="1"/>
  <c r="C26" i="5"/>
  <c r="G26" i="5" s="1"/>
  <c r="G7" i="5"/>
  <c r="C35" i="4"/>
  <c r="E34" i="4"/>
  <c r="E35" i="4"/>
  <c r="E39" i="4"/>
  <c r="E41" i="4"/>
  <c r="E47" i="4"/>
  <c r="E51" i="4"/>
  <c r="B47" i="4"/>
  <c r="C47" i="4"/>
  <c r="B48" i="4"/>
  <c r="C48" i="4"/>
  <c r="B49" i="4"/>
  <c r="C49" i="4"/>
  <c r="B50" i="4"/>
  <c r="C50" i="4"/>
  <c r="B51" i="4"/>
  <c r="C51" i="4"/>
  <c r="B52" i="4"/>
  <c r="C52" i="4"/>
  <c r="B53" i="4"/>
  <c r="C53" i="4"/>
  <c r="E53" i="4"/>
  <c r="B54" i="4"/>
  <c r="C54" i="4"/>
  <c r="B55" i="4"/>
  <c r="C55" i="4"/>
  <c r="B56" i="4"/>
  <c r="C56" i="4"/>
  <c r="B57" i="4"/>
  <c r="C57" i="4"/>
  <c r="B58" i="4"/>
  <c r="C58" i="4"/>
  <c r="C43" i="3"/>
  <c r="C44" i="3"/>
  <c r="C45" i="3"/>
  <c r="C46" i="3"/>
  <c r="C47" i="3"/>
  <c r="C48" i="3"/>
  <c r="C49" i="3"/>
  <c r="C50" i="3"/>
  <c r="C52" i="3"/>
  <c r="C54" i="3"/>
  <c r="C55" i="3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29" i="4"/>
  <c r="E30" i="4"/>
  <c r="C27" i="5" l="1"/>
  <c r="G27" i="5" s="1"/>
  <c r="C56" i="5"/>
  <c r="G56" i="5" s="1"/>
  <c r="C55" i="5"/>
  <c r="G55" i="5" s="1"/>
  <c r="C50" i="5"/>
  <c r="G50" i="5" s="1"/>
  <c r="C45" i="5"/>
  <c r="G45" i="5" s="1"/>
  <c r="C44" i="5"/>
  <c r="G44" i="5" s="1"/>
  <c r="C43" i="5"/>
  <c r="G43" i="5" s="1"/>
  <c r="C33" i="5"/>
  <c r="G33" i="5" s="1"/>
  <c r="C32" i="5"/>
  <c r="G32" i="5" s="1"/>
  <c r="C31" i="5"/>
  <c r="G31" i="5" s="1"/>
  <c r="E49" i="4"/>
  <c r="L49" i="4"/>
  <c r="L48" i="4"/>
  <c r="M48" i="4" s="1"/>
  <c r="L47" i="4"/>
  <c r="M47" i="4" s="1"/>
  <c r="L46" i="4"/>
  <c r="E57" i="4"/>
  <c r="L57" i="4"/>
  <c r="L45" i="4"/>
  <c r="E33" i="4"/>
  <c r="L33" i="4"/>
  <c r="E56" i="4"/>
  <c r="L56" i="4"/>
  <c r="M56" i="4" s="1"/>
  <c r="L44" i="4"/>
  <c r="E32" i="4"/>
  <c r="L32" i="4"/>
  <c r="L35" i="4"/>
  <c r="E58" i="4"/>
  <c r="L58" i="4"/>
  <c r="L43" i="4"/>
  <c r="L42" i="4"/>
  <c r="L53" i="4"/>
  <c r="L41" i="4"/>
  <c r="M41" i="4" s="1"/>
  <c r="E37" i="4"/>
  <c r="L37" i="4"/>
  <c r="M37" i="4" s="1"/>
  <c r="E48" i="4"/>
  <c r="L52" i="4"/>
  <c r="E40" i="4"/>
  <c r="L40" i="4"/>
  <c r="M40" i="4" s="1"/>
  <c r="E36" i="4"/>
  <c r="L36" i="4"/>
  <c r="M36" i="4" s="1"/>
  <c r="L34" i="4"/>
  <c r="E55" i="4"/>
  <c r="L55" i="4"/>
  <c r="M55" i="4" s="1"/>
  <c r="L54" i="4"/>
  <c r="L51" i="4"/>
  <c r="L39" i="4"/>
  <c r="L31" i="4"/>
  <c r="M31" i="4" s="1"/>
  <c r="L30" i="4"/>
  <c r="M30" i="4" s="1"/>
  <c r="E42" i="4"/>
  <c r="E52" i="4"/>
  <c r="E50" i="4"/>
  <c r="L50" i="4"/>
  <c r="E38" i="4"/>
  <c r="L38" i="4"/>
  <c r="C54" i="5"/>
  <c r="G54" i="5" s="1"/>
  <c r="C42" i="5"/>
  <c r="G42" i="5" s="1"/>
  <c r="C30" i="5"/>
  <c r="G30" i="5" s="1"/>
  <c r="C53" i="5"/>
  <c r="G53" i="5" s="1"/>
  <c r="C41" i="5"/>
  <c r="G41" i="5" s="1"/>
  <c r="C29" i="5"/>
  <c r="G29" i="5" s="1"/>
  <c r="C52" i="5"/>
  <c r="G52" i="5" s="1"/>
  <c r="C40" i="5"/>
  <c r="G40" i="5" s="1"/>
  <c r="C28" i="5"/>
  <c r="G28" i="5" s="1"/>
  <c r="C51" i="5"/>
  <c r="G51" i="5" s="1"/>
  <c r="C39" i="5"/>
  <c r="G39" i="5" s="1"/>
  <c r="C49" i="5"/>
  <c r="G49" i="5" s="1"/>
  <c r="C37" i="5"/>
  <c r="G37" i="5" s="1"/>
  <c r="C48" i="5"/>
  <c r="G48" i="5" s="1"/>
  <c r="C36" i="5"/>
  <c r="G36" i="5" s="1"/>
  <c r="C47" i="5"/>
  <c r="G47" i="5" s="1"/>
  <c r="C35" i="5"/>
  <c r="G35" i="5" s="1"/>
  <c r="C38" i="5"/>
  <c r="G38" i="5" s="1"/>
  <c r="C46" i="5"/>
  <c r="G46" i="5" s="1"/>
  <c r="C34" i="5"/>
  <c r="G34" i="5" s="1"/>
  <c r="E31" i="4"/>
  <c r="E54" i="4"/>
  <c r="E45" i="4"/>
  <c r="E44" i="4"/>
  <c r="E43" i="4"/>
  <c r="E46" i="4"/>
  <c r="C11" i="4"/>
  <c r="C12" i="4"/>
  <c r="C13" i="4"/>
  <c r="C14" i="4"/>
  <c r="C15" i="4"/>
  <c r="C16" i="4"/>
  <c r="C18" i="4"/>
  <c r="C19" i="4"/>
  <c r="C20" i="4"/>
  <c r="C21" i="4"/>
  <c r="C22" i="4"/>
  <c r="C23" i="4"/>
  <c r="C24" i="4"/>
  <c r="C25" i="4"/>
  <c r="C26" i="4"/>
  <c r="C27" i="4"/>
  <c r="C30" i="4"/>
  <c r="C31" i="4"/>
  <c r="C33" i="4"/>
  <c r="C34" i="4"/>
  <c r="C36" i="4"/>
  <c r="C37" i="4"/>
  <c r="C38" i="4"/>
  <c r="C39" i="4"/>
  <c r="C40" i="4"/>
  <c r="C41" i="4"/>
  <c r="C42" i="4"/>
  <c r="C43" i="4"/>
  <c r="C44" i="4"/>
  <c r="C45" i="4"/>
  <c r="C46" i="4"/>
  <c r="C10" i="4"/>
  <c r="C8" i="4"/>
  <c r="G26" i="4" l="1"/>
  <c r="H26" i="4"/>
  <c r="F26" i="4"/>
  <c r="H24" i="4"/>
  <c r="F24" i="4"/>
  <c r="G24" i="4"/>
  <c r="G12" i="4"/>
  <c r="H12" i="4"/>
  <c r="F12" i="4"/>
  <c r="G23" i="4"/>
  <c r="H23" i="4"/>
  <c r="F23" i="4"/>
  <c r="H11" i="4"/>
  <c r="G11" i="4"/>
  <c r="F11" i="4"/>
  <c r="G27" i="4"/>
  <c r="H27" i="4"/>
  <c r="F27" i="4"/>
  <c r="F16" i="4"/>
  <c r="G16" i="4"/>
  <c r="H16" i="4"/>
  <c r="G25" i="4"/>
  <c r="H25" i="4"/>
  <c r="F25" i="4"/>
  <c r="G13" i="4"/>
  <c r="H13" i="4"/>
  <c r="F13" i="4"/>
  <c r="H22" i="4"/>
  <c r="F22" i="4"/>
  <c r="G22" i="4"/>
  <c r="F21" i="4"/>
  <c r="H21" i="4"/>
  <c r="G21" i="4"/>
  <c r="H20" i="4"/>
  <c r="F20" i="4"/>
  <c r="G20" i="4"/>
  <c r="H14" i="4"/>
  <c r="G14" i="4"/>
  <c r="F14" i="4"/>
  <c r="G10" i="4"/>
  <c r="H10" i="4"/>
  <c r="F10" i="4"/>
  <c r="H19" i="4"/>
  <c r="F19" i="4"/>
  <c r="G19" i="4"/>
  <c r="G15" i="4"/>
  <c r="H15" i="4"/>
  <c r="F15" i="4"/>
  <c r="G18" i="4"/>
  <c r="F18" i="4"/>
  <c r="H18" i="4"/>
  <c r="F17" i="4"/>
  <c r="G17" i="4"/>
  <c r="H17" i="4"/>
  <c r="M50" i="4"/>
  <c r="M39" i="4"/>
  <c r="M34" i="4"/>
  <c r="M52" i="4"/>
  <c r="M35" i="4"/>
  <c r="M46" i="4"/>
  <c r="M54" i="4"/>
  <c r="M45" i="4"/>
  <c r="M51" i="4"/>
  <c r="M42" i="4"/>
  <c r="M43" i="4"/>
  <c r="M49" i="4"/>
  <c r="M57" i="4"/>
  <c r="M38" i="4"/>
  <c r="M58" i="4"/>
  <c r="M53" i="4"/>
  <c r="M32" i="4"/>
  <c r="M44" i="4"/>
  <c r="M33" i="4"/>
  <c r="I9" i="4"/>
  <c r="C26" i="3"/>
  <c r="C28" i="3"/>
  <c r="C29" i="3"/>
  <c r="C30" i="3"/>
  <c r="C31" i="3"/>
  <c r="C32" i="3"/>
  <c r="C35" i="3"/>
  <c r="C36" i="3"/>
  <c r="C37" i="3"/>
  <c r="C38" i="3"/>
  <c r="C39" i="3"/>
  <c r="C40" i="3"/>
  <c r="C42" i="3"/>
  <c r="C27" i="3"/>
  <c r="C33" i="3"/>
  <c r="C34" i="3"/>
  <c r="C41" i="3"/>
  <c r="I14" i="4" l="1"/>
  <c r="O14" i="4" s="1"/>
  <c r="I12" i="4"/>
  <c r="I16" i="4"/>
  <c r="O16" i="4" s="1"/>
  <c r="I27" i="4"/>
  <c r="I15" i="4"/>
  <c r="I17" i="4"/>
  <c r="I11" i="4"/>
  <c r="I23" i="4"/>
  <c r="I20" i="4"/>
  <c r="I21" i="4"/>
  <c r="I19" i="4"/>
  <c r="I25" i="4"/>
  <c r="I10" i="4"/>
  <c r="I22" i="4"/>
  <c r="I24" i="4"/>
  <c r="I18" i="4"/>
  <c r="O18" i="4" s="1"/>
  <c r="I13" i="4"/>
  <c r="I26" i="4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7" i="3"/>
  <c r="L24" i="3"/>
  <c r="U24" i="3"/>
  <c r="T24" i="3"/>
  <c r="R24" i="3"/>
  <c r="Q24" i="3"/>
  <c r="P24" i="3"/>
  <c r="N24" i="3"/>
  <c r="M24" i="3"/>
  <c r="Q14" i="4" l="1"/>
  <c r="Q18" i="4"/>
  <c r="Q16" i="4"/>
  <c r="Q15" i="4"/>
  <c r="O15" i="4"/>
  <c r="Q26" i="4"/>
  <c r="O26" i="4"/>
  <c r="Q10" i="4"/>
  <c r="O10" i="4"/>
  <c r="Q12" i="4"/>
  <c r="O12" i="4"/>
  <c r="Q21" i="4"/>
  <c r="O21" i="4"/>
  <c r="Q23" i="4"/>
  <c r="O23" i="4"/>
  <c r="Q17" i="4"/>
  <c r="O17" i="4"/>
  <c r="Q22" i="4"/>
  <c r="O22" i="4"/>
  <c r="Q19" i="4"/>
  <c r="O19" i="4"/>
  <c r="Q24" i="4"/>
  <c r="O24" i="4"/>
  <c r="I30" i="4"/>
  <c r="O30" i="4" s="1"/>
  <c r="Q30" i="4" s="1"/>
  <c r="O28" i="4"/>
  <c r="Q9" i="4"/>
  <c r="O9" i="4"/>
  <c r="Q27" i="4"/>
  <c r="O27" i="4"/>
  <c r="Q13" i="4"/>
  <c r="O13" i="4"/>
  <c r="Q11" i="4"/>
  <c r="O11" i="4"/>
  <c r="Q20" i="4"/>
  <c r="O20" i="4"/>
  <c r="Q25" i="4"/>
  <c r="O25" i="4"/>
  <c r="Q28" i="4"/>
  <c r="I39" i="4"/>
  <c r="I51" i="4"/>
  <c r="I40" i="4"/>
  <c r="I52" i="4"/>
  <c r="I53" i="4"/>
  <c r="I38" i="4"/>
  <c r="I41" i="4"/>
  <c r="I42" i="4"/>
  <c r="O42" i="4" s="1"/>
  <c r="I54" i="4"/>
  <c r="I31" i="4"/>
  <c r="I43" i="4"/>
  <c r="I55" i="4"/>
  <c r="I35" i="4"/>
  <c r="I49" i="4"/>
  <c r="I32" i="4"/>
  <c r="I44" i="4"/>
  <c r="I56" i="4"/>
  <c r="I45" i="4"/>
  <c r="I57" i="4"/>
  <c r="I46" i="4"/>
  <c r="I48" i="4"/>
  <c r="I33" i="4"/>
  <c r="I47" i="4"/>
  <c r="I36" i="4"/>
  <c r="I34" i="4"/>
  <c r="I58" i="4"/>
  <c r="O29" i="4"/>
  <c r="I37" i="4"/>
  <c r="I50" i="4"/>
  <c r="W24" i="3"/>
  <c r="X24" i="3" s="1"/>
  <c r="Y24" i="3" s="1"/>
  <c r="O55" i="4" l="1"/>
  <c r="Q55" i="4" s="1"/>
  <c r="O48" i="4"/>
  <c r="Q48" i="4" s="1"/>
  <c r="Q42" i="4"/>
  <c r="O43" i="4"/>
  <c r="Q43" i="4" s="1"/>
  <c r="O54" i="4"/>
  <c r="Q54" i="4" s="1"/>
  <c r="O57" i="4"/>
  <c r="Q57" i="4" s="1"/>
  <c r="O45" i="4"/>
  <c r="Q45" i="4" s="1"/>
  <c r="O41" i="4"/>
  <c r="Q41" i="4" s="1"/>
  <c r="O46" i="4"/>
  <c r="Q46" i="4" s="1"/>
  <c r="O38" i="4"/>
  <c r="Q38" i="4" s="1"/>
  <c r="O39" i="4"/>
  <c r="Q39" i="4" s="1"/>
  <c r="O47" i="4"/>
  <c r="Q47" i="4" s="1"/>
  <c r="O31" i="4"/>
  <c r="Q31" i="4" s="1"/>
  <c r="O50" i="4"/>
  <c r="Q50" i="4" s="1"/>
  <c r="O56" i="4"/>
  <c r="Q56" i="4" s="1"/>
  <c r="O37" i="4"/>
  <c r="Q37" i="4" s="1"/>
  <c r="O44" i="4"/>
  <c r="Q44" i="4" s="1"/>
  <c r="O53" i="4"/>
  <c r="Q53" i="4" s="1"/>
  <c r="O36" i="4"/>
  <c r="Q36" i="4" s="1"/>
  <c r="O33" i="4"/>
  <c r="Q33" i="4" s="1"/>
  <c r="O32" i="4"/>
  <c r="Q32" i="4" s="1"/>
  <c r="O52" i="4"/>
  <c r="Q52" i="4" s="1"/>
  <c r="O58" i="4"/>
  <c r="Q58" i="4" s="1"/>
  <c r="O49" i="4"/>
  <c r="Q49" i="4" s="1"/>
  <c r="O40" i="4"/>
  <c r="Q40" i="4" s="1"/>
  <c r="O34" i="4"/>
  <c r="Q34" i="4" s="1"/>
  <c r="O35" i="4"/>
  <c r="Q35" i="4" s="1"/>
  <c r="O51" i="4"/>
  <c r="Q51" i="4" s="1"/>
  <c r="Q2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tc={C4BF51F8-771D-48DF-9919-F5DA37CD2DE9}</author>
  </authors>
  <commentList>
    <comment ref="E7" authorId="0" shapeId="0" xr:uid="{C4BF51F8-771D-48DF-9919-F5DA37CD2DE9}">
      <text>
        <t>[Threaded comment]
Your version of Excel allows you to read this threaded comment; however, any edits to it will get removed if the file is opened in a newer version of Excel. Learn more: https://go.microsoft.com/fwlink/?linkid=870924
Comment:
    Above 1 m a section of the main channel will always be full</t>
      </text>
    </comment>
  </commentList>
</comments>
</file>

<file path=xl/sharedStrings.xml><?xml version="1.0" encoding="utf-8"?>
<sst xmlns="http://schemas.openxmlformats.org/spreadsheetml/2006/main" count="106" uniqueCount="29">
  <si>
    <t>Max Flow Area</t>
  </si>
  <si>
    <t>Max Volume</t>
  </si>
  <si>
    <t>Max flow rate</t>
  </si>
  <si>
    <t>4 days</t>
  </si>
  <si>
    <t>Q [m3/s]</t>
  </si>
  <si>
    <t>Length</t>
  </si>
  <si>
    <t>b1</t>
  </si>
  <si>
    <t>t (hours)</t>
  </si>
  <si>
    <t>L0</t>
  </si>
  <si>
    <t>Water Level [Chainage = 0]</t>
  </si>
  <si>
    <t>Water Level [Chainage =0]</t>
  </si>
  <si>
    <t>-</t>
  </si>
  <si>
    <t>1st</t>
  </si>
  <si>
    <t>2nd</t>
  </si>
  <si>
    <t>3rd</t>
  </si>
  <si>
    <t>Lfull</t>
  </si>
  <si>
    <t>Qfull</t>
  </si>
  <si>
    <t>Qbottom [m3/s]</t>
  </si>
  <si>
    <t>Qtop [m3/s]</t>
  </si>
  <si>
    <t>Qtotal</t>
  </si>
  <si>
    <t>hnew</t>
  </si>
  <si>
    <t xml:space="preserve">Water Level </t>
  </si>
  <si>
    <t>dQ/dt</t>
  </si>
  <si>
    <t>Slope</t>
  </si>
  <si>
    <t>Boundary Length</t>
  </si>
  <si>
    <t>Qmain [m3/s]</t>
  </si>
  <si>
    <t>Qequation</t>
  </si>
  <si>
    <t>Qupstreamboundary</t>
  </si>
  <si>
    <t>Qdownstreamboundary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</si>
</sst>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2" fontId="0" fillId="0" borderId="0" xfId="0" applyNumberFormat="1"/>
    <xf numFmtId="164" fontId="0" fillId="0" borderId="0" xfId="0" applyNumberFormat="1"/>
    <xf numFmtId="43" fontId="0" fillId="0" borderId="0" xfId="1" applyFont="1"/>
    <xf numFmtId="43" fontId="0" fillId="0" borderId="0" xfId="0" applyNumberFormat="1"/>
    <xf numFmtId="16" fontId="0" fillId="0" borderId="0" xfId="0" applyNumberFormat="1"/>
    <xf numFmtId="43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43" fontId="0" fillId="0" borderId="0" xfId="0" applyNumberFormat="1" applyAlignment="1">
      <alignment horizontal="center"/>
    </xf>
    <xf numFmtId="2" fontId="0" fillId="0" borderId="0" xfId="0" applyNumberFormat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T1 Analytical Solution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'T1'!$B$6:$B$56</c:f>
              <c:numCache>
                <c:formatCode>_(* #,##0.00_);_(* \(#,##0.00\);_(* "-"??_);_(@_)</c:formatCode>
                <c:ptCount val="51"/>
                <c:pt idx="0" formatCode="General">
                  <c:v>0</c:v>
                </c:pt>
                <c:pt idx="1">
                  <c:v>1076.25</c:v>
                </c:pt>
                <c:pt idx="2">
                  <c:v>2255</c:v>
                </c:pt>
                <c:pt idx="3">
                  <c:v>3536.25</c:v>
                </c:pt>
                <c:pt idx="4">
                  <c:v>4920</c:v>
                </c:pt>
                <c:pt idx="5">
                  <c:v>6406.25</c:v>
                </c:pt>
                <c:pt idx="6">
                  <c:v>7995</c:v>
                </c:pt>
                <c:pt idx="7">
                  <c:v>9686.25</c:v>
                </c:pt>
                <c:pt idx="8">
                  <c:v>11480.000000000002</c:v>
                </c:pt>
                <c:pt idx="9">
                  <c:v>13376.25</c:v>
                </c:pt>
                <c:pt idx="10">
                  <c:v>15375</c:v>
                </c:pt>
                <c:pt idx="11">
                  <c:v>17476.25</c:v>
                </c:pt>
                <c:pt idx="12">
                  <c:v>19680</c:v>
                </c:pt>
                <c:pt idx="13">
                  <c:v>21986.250000000004</c:v>
                </c:pt>
                <c:pt idx="14">
                  <c:v>24394.999999999996</c:v>
                </c:pt>
                <c:pt idx="15">
                  <c:v>26906.25</c:v>
                </c:pt>
                <c:pt idx="16">
                  <c:v>29520.000000000004</c:v>
                </c:pt>
                <c:pt idx="17">
                  <c:v>32236.25</c:v>
                </c:pt>
                <c:pt idx="18">
                  <c:v>35055</c:v>
                </c:pt>
                <c:pt idx="19">
                  <c:v>37976.25</c:v>
                </c:pt>
                <c:pt idx="20">
                  <c:v>41000</c:v>
                </c:pt>
                <c:pt idx="21">
                  <c:v>45117.066250000003</c:v>
                </c:pt>
                <c:pt idx="22">
                  <c:v>49268.265000000007</c:v>
                </c:pt>
                <c:pt idx="23">
                  <c:v>53453.596249999995</c:v>
                </c:pt>
                <c:pt idx="24">
                  <c:v>57673.06</c:v>
                </c:pt>
                <c:pt idx="25">
                  <c:v>61926.65625</c:v>
                </c:pt>
                <c:pt idx="26">
                  <c:v>66214.385000000009</c:v>
                </c:pt>
                <c:pt idx="27">
                  <c:v>70536.246250000011</c:v>
                </c:pt>
                <c:pt idx="28">
                  <c:v>74892.239999999991</c:v>
                </c:pt>
                <c:pt idx="29">
                  <c:v>79282.366249999992</c:v>
                </c:pt>
                <c:pt idx="30">
                  <c:v>83706.625</c:v>
                </c:pt>
                <c:pt idx="31">
                  <c:v>88165.016250000001</c:v>
                </c:pt>
                <c:pt idx="32">
                  <c:v>92657.540000000008</c:v>
                </c:pt>
                <c:pt idx="33">
                  <c:v>97184.196249999994</c:v>
                </c:pt>
                <c:pt idx="34">
                  <c:v>101744.985</c:v>
                </c:pt>
                <c:pt idx="35">
                  <c:v>106339.90625</c:v>
                </c:pt>
                <c:pt idx="36">
                  <c:v>110968.96000000001</c:v>
                </c:pt>
                <c:pt idx="37">
                  <c:v>115632.14625000001</c:v>
                </c:pt>
                <c:pt idx="38">
                  <c:v>120329.465</c:v>
                </c:pt>
                <c:pt idx="39">
                  <c:v>125060.91624999999</c:v>
                </c:pt>
                <c:pt idx="40">
                  <c:v>129826.5</c:v>
                </c:pt>
                <c:pt idx="41">
                  <c:v>134626.21625</c:v>
                </c:pt>
                <c:pt idx="42">
                  <c:v>139460.065</c:v>
                </c:pt>
                <c:pt idx="43">
                  <c:v>144328.04625000001</c:v>
                </c:pt>
                <c:pt idx="44">
                  <c:v>149230.16000000003</c:v>
                </c:pt>
                <c:pt idx="45">
                  <c:v>154166.40625</c:v>
                </c:pt>
                <c:pt idx="46">
                  <c:v>159136.78499999997</c:v>
                </c:pt>
                <c:pt idx="47">
                  <c:v>164141.29625000001</c:v>
                </c:pt>
                <c:pt idx="48">
                  <c:v>169179.94</c:v>
                </c:pt>
                <c:pt idx="49">
                  <c:v>174252.71625000003</c:v>
                </c:pt>
                <c:pt idx="50">
                  <c:v>179359.625</c:v>
                </c:pt>
              </c:numCache>
            </c:numRef>
          </c:xVal>
          <c:yVal>
            <c:numRef>
              <c:f>'T1'!$A$6:$A$56</c:f>
              <c:numCache>
                <c:formatCode>0.00</c:formatCode>
                <c:ptCount val="51"/>
                <c:pt idx="0" formatCode="General">
                  <c:v>0</c:v>
                </c:pt>
                <c:pt idx="1">
                  <c:v>0.05</c:v>
                </c:pt>
                <c:pt idx="2" formatCode="0.0">
                  <c:v>0.1</c:v>
                </c:pt>
                <c:pt idx="3">
                  <c:v>0.15</c:v>
                </c:pt>
                <c:pt idx="4" formatCode="0.0">
                  <c:v>0.2</c:v>
                </c:pt>
                <c:pt idx="5">
                  <c:v>0.25</c:v>
                </c:pt>
                <c:pt idx="6" formatCode="0.0">
                  <c:v>0.3</c:v>
                </c:pt>
                <c:pt idx="7">
                  <c:v>0.35</c:v>
                </c:pt>
                <c:pt idx="8" formatCode="0.0">
                  <c:v>0.4</c:v>
                </c:pt>
                <c:pt idx="9">
                  <c:v>0.45</c:v>
                </c:pt>
                <c:pt idx="10" formatCode="0.0">
                  <c:v>0.5</c:v>
                </c:pt>
                <c:pt idx="11">
                  <c:v>0.55000000000000004</c:v>
                </c:pt>
                <c:pt idx="12" formatCode="0.0">
                  <c:v>0.6</c:v>
                </c:pt>
                <c:pt idx="13">
                  <c:v>0.65</c:v>
                </c:pt>
                <c:pt idx="14" formatCode="0.0">
                  <c:v>0.7</c:v>
                </c:pt>
                <c:pt idx="15">
                  <c:v>0.75</c:v>
                </c:pt>
                <c:pt idx="16" formatCode="0.0">
                  <c:v>0.8</c:v>
                </c:pt>
                <c:pt idx="17">
                  <c:v>0.85</c:v>
                </c:pt>
                <c:pt idx="18" formatCode="0.0">
                  <c:v>0.9</c:v>
                </c:pt>
                <c:pt idx="19">
                  <c:v>0.95</c:v>
                </c:pt>
                <c:pt idx="20" formatCode="0.0">
                  <c:v>1</c:v>
                </c:pt>
                <c:pt idx="21">
                  <c:v>1.05</c:v>
                </c:pt>
                <c:pt idx="22" formatCode="0.0">
                  <c:v>1.1000000000000001</c:v>
                </c:pt>
                <c:pt idx="23">
                  <c:v>1.1499999999999999</c:v>
                </c:pt>
                <c:pt idx="24" formatCode="0.0">
                  <c:v>1.2</c:v>
                </c:pt>
                <c:pt idx="25">
                  <c:v>1.25</c:v>
                </c:pt>
                <c:pt idx="26" formatCode="0.0">
                  <c:v>1.3</c:v>
                </c:pt>
                <c:pt idx="27">
                  <c:v>1.35</c:v>
                </c:pt>
                <c:pt idx="28" formatCode="0.0">
                  <c:v>1.4</c:v>
                </c:pt>
                <c:pt idx="29">
                  <c:v>1.45</c:v>
                </c:pt>
                <c:pt idx="30" formatCode="0.0">
                  <c:v>1.5</c:v>
                </c:pt>
                <c:pt idx="31">
                  <c:v>1.55</c:v>
                </c:pt>
                <c:pt idx="32" formatCode="0.0">
                  <c:v>1.6</c:v>
                </c:pt>
                <c:pt idx="33">
                  <c:v>1.65</c:v>
                </c:pt>
                <c:pt idx="34" formatCode="0.0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B3-4C62-98ED-0A46D509C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112496"/>
        <c:axId val="535112824"/>
      </c:scatterChart>
      <c:valAx>
        <c:axId val="535112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Integrated Inflow</a:t>
                </a:r>
                <a:r>
                  <a:rPr lang="nl-NL" baseline="0"/>
                  <a:t> Volume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35112824"/>
        <c:crosses val="autoZero"/>
        <c:crossBetween val="midCat"/>
      </c:valAx>
      <c:valAx>
        <c:axId val="535112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Water</a:t>
                </a:r>
                <a:r>
                  <a:rPr lang="nl-NL" baseline="0"/>
                  <a:t> Level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35112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T2 Analytical Solution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'T2'!$O$8:$O$58</c:f>
              <c:numCache>
                <c:formatCode>_(* #,##0.00_);_(* \(#,##0.00\);_(* "-"??_);_(@_)</c:formatCode>
                <c:ptCount val="51"/>
                <c:pt idx="0" formatCode="General">
                  <c:v>0</c:v>
                </c:pt>
                <c:pt idx="1">
                  <c:v>21.736111111111114</c:v>
                </c:pt>
                <c:pt idx="2">
                  <c:v>63.055555555555557</c:v>
                </c:pt>
                <c:pt idx="3">
                  <c:v>125.625</c:v>
                </c:pt>
                <c:pt idx="4">
                  <c:v>211.11111111111109</c:v>
                </c:pt>
                <c:pt idx="5">
                  <c:v>321.18055555555554</c:v>
                </c:pt>
                <c:pt idx="6">
                  <c:v>457.5</c:v>
                </c:pt>
                <c:pt idx="7">
                  <c:v>621.73611111111109</c:v>
                </c:pt>
                <c:pt idx="8">
                  <c:v>815.55555555555566</c:v>
                </c:pt>
                <c:pt idx="9">
                  <c:v>1040.625</c:v>
                </c:pt>
                <c:pt idx="10">
                  <c:v>1298.6111111111115</c:v>
                </c:pt>
                <c:pt idx="11">
                  <c:v>1591.1805555555552</c:v>
                </c:pt>
                <c:pt idx="12">
                  <c:v>1920</c:v>
                </c:pt>
                <c:pt idx="13">
                  <c:v>2286.7361111111113</c:v>
                </c:pt>
                <c:pt idx="14">
                  <c:v>2693.0555555555547</c:v>
                </c:pt>
                <c:pt idx="15">
                  <c:v>3140.625</c:v>
                </c:pt>
                <c:pt idx="16">
                  <c:v>3631.1111111111122</c:v>
                </c:pt>
                <c:pt idx="17">
                  <c:v>4166.1805555555547</c:v>
                </c:pt>
                <c:pt idx="18">
                  <c:v>4747.5000000000009</c:v>
                </c:pt>
                <c:pt idx="19">
                  <c:v>5376.7361111111104</c:v>
                </c:pt>
                <c:pt idx="20">
                  <c:v>6055.5555555555566</c:v>
                </c:pt>
                <c:pt idx="21">
                  <c:v>6805.8564814814827</c:v>
                </c:pt>
                <c:pt idx="22">
                  <c:v>7623.7962962962984</c:v>
                </c:pt>
                <c:pt idx="23">
                  <c:v>8509.9305555555547</c:v>
                </c:pt>
                <c:pt idx="24">
                  <c:v>9464.8148148148157</c:v>
                </c:pt>
                <c:pt idx="25">
                  <c:v>10489.004629629631</c:v>
                </c:pt>
                <c:pt idx="26">
                  <c:v>11583.055555555557</c:v>
                </c:pt>
                <c:pt idx="27">
                  <c:v>12747.523148148151</c:v>
                </c:pt>
                <c:pt idx="28">
                  <c:v>13982.96296296296</c:v>
                </c:pt>
                <c:pt idx="29">
                  <c:v>15289.930555555555</c:v>
                </c:pt>
                <c:pt idx="30">
                  <c:v>16668.981481481482</c:v>
                </c:pt>
                <c:pt idx="31">
                  <c:v>18120.671296296296</c:v>
                </c:pt>
                <c:pt idx="32">
                  <c:v>19645.555555555558</c:v>
                </c:pt>
                <c:pt idx="33">
                  <c:v>21244.18981481481</c:v>
                </c:pt>
                <c:pt idx="34">
                  <c:v>22917.129629629631</c:v>
                </c:pt>
                <c:pt idx="35">
                  <c:v>24664.930555555555</c:v>
                </c:pt>
                <c:pt idx="36">
                  <c:v>26488.14814814815</c:v>
                </c:pt>
                <c:pt idx="37">
                  <c:v>28387.33796296296</c:v>
                </c:pt>
                <c:pt idx="38">
                  <c:v>30363.055555555555</c:v>
                </c:pt>
                <c:pt idx="39">
                  <c:v>32415.856481481485</c:v>
                </c:pt>
                <c:pt idx="40">
                  <c:v>34546.296296296307</c:v>
                </c:pt>
                <c:pt idx="41">
                  <c:v>36754.930555555547</c:v>
                </c:pt>
                <c:pt idx="42">
                  <c:v>39042.314814814825</c:v>
                </c:pt>
                <c:pt idx="43">
                  <c:v>41409.004629629628</c:v>
                </c:pt>
                <c:pt idx="44">
                  <c:v>43855.555555555562</c:v>
                </c:pt>
                <c:pt idx="45">
                  <c:v>46382.523148148153</c:v>
                </c:pt>
                <c:pt idx="46">
                  <c:v>48990.462962962956</c:v>
                </c:pt>
                <c:pt idx="47">
                  <c:v>51679.930555555555</c:v>
                </c:pt>
                <c:pt idx="48">
                  <c:v>54451.481481481489</c:v>
                </c:pt>
                <c:pt idx="49">
                  <c:v>57305.671296296299</c:v>
                </c:pt>
                <c:pt idx="50">
                  <c:v>60243.055555555555</c:v>
                </c:pt>
              </c:numCache>
            </c:numRef>
          </c:xVal>
          <c:yVal>
            <c:numRef>
              <c:f>'T2'!$A$8:$A$58</c:f>
              <c:numCache>
                <c:formatCode>0.00</c:formatCode>
                <c:ptCount val="51"/>
                <c:pt idx="0" formatCode="General">
                  <c:v>0</c:v>
                </c:pt>
                <c:pt idx="1">
                  <c:v>0.05</c:v>
                </c:pt>
                <c:pt idx="2" formatCode="0.0">
                  <c:v>0.1</c:v>
                </c:pt>
                <c:pt idx="3">
                  <c:v>0.15</c:v>
                </c:pt>
                <c:pt idx="4" formatCode="0.0">
                  <c:v>0.2</c:v>
                </c:pt>
                <c:pt idx="5">
                  <c:v>0.25</c:v>
                </c:pt>
                <c:pt idx="6" formatCode="0.0">
                  <c:v>0.3</c:v>
                </c:pt>
                <c:pt idx="7">
                  <c:v>0.35</c:v>
                </c:pt>
                <c:pt idx="8" formatCode="0.0">
                  <c:v>0.4</c:v>
                </c:pt>
                <c:pt idx="9">
                  <c:v>0.45</c:v>
                </c:pt>
                <c:pt idx="10" formatCode="0.0">
                  <c:v>0.5</c:v>
                </c:pt>
                <c:pt idx="11">
                  <c:v>0.55000000000000004</c:v>
                </c:pt>
                <c:pt idx="12" formatCode="0.0">
                  <c:v>0.6</c:v>
                </c:pt>
                <c:pt idx="13">
                  <c:v>0.65</c:v>
                </c:pt>
                <c:pt idx="14" formatCode="0.0">
                  <c:v>0.7</c:v>
                </c:pt>
                <c:pt idx="15">
                  <c:v>0.75</c:v>
                </c:pt>
                <c:pt idx="16" formatCode="0.0">
                  <c:v>0.8</c:v>
                </c:pt>
                <c:pt idx="17">
                  <c:v>0.85</c:v>
                </c:pt>
                <c:pt idx="18" formatCode="0.0">
                  <c:v>0.9</c:v>
                </c:pt>
                <c:pt idx="19">
                  <c:v>0.95</c:v>
                </c:pt>
                <c:pt idx="20" formatCode="0.0">
                  <c:v>1</c:v>
                </c:pt>
                <c:pt idx="21">
                  <c:v>1.05</c:v>
                </c:pt>
                <c:pt idx="22" formatCode="0.0">
                  <c:v>1.1000000000000001</c:v>
                </c:pt>
                <c:pt idx="23">
                  <c:v>1.1499999999999999</c:v>
                </c:pt>
                <c:pt idx="24" formatCode="0.0">
                  <c:v>1.2</c:v>
                </c:pt>
                <c:pt idx="25">
                  <c:v>1.25</c:v>
                </c:pt>
                <c:pt idx="26" formatCode="0.0">
                  <c:v>1.3</c:v>
                </c:pt>
                <c:pt idx="27">
                  <c:v>1.35</c:v>
                </c:pt>
                <c:pt idx="28" formatCode="0.0">
                  <c:v>1.4</c:v>
                </c:pt>
                <c:pt idx="29">
                  <c:v>1.45</c:v>
                </c:pt>
                <c:pt idx="30" formatCode="0.0">
                  <c:v>1.5</c:v>
                </c:pt>
                <c:pt idx="31">
                  <c:v>1.55</c:v>
                </c:pt>
                <c:pt idx="32" formatCode="0.0">
                  <c:v>1.6</c:v>
                </c:pt>
                <c:pt idx="33">
                  <c:v>1.65</c:v>
                </c:pt>
                <c:pt idx="34" formatCode="0.0">
                  <c:v>1.7</c:v>
                </c:pt>
                <c:pt idx="35">
                  <c:v>1.75</c:v>
                </c:pt>
                <c:pt idx="36" formatCode="0.0">
                  <c:v>1.8</c:v>
                </c:pt>
                <c:pt idx="37">
                  <c:v>1.85</c:v>
                </c:pt>
                <c:pt idx="38" formatCode="0.0">
                  <c:v>1.9</c:v>
                </c:pt>
                <c:pt idx="39">
                  <c:v>1.95</c:v>
                </c:pt>
                <c:pt idx="40" formatCode="0.0">
                  <c:v>2</c:v>
                </c:pt>
                <c:pt idx="41">
                  <c:v>2.0499999999999998</c:v>
                </c:pt>
                <c:pt idx="42" formatCode="0.0">
                  <c:v>2.1</c:v>
                </c:pt>
                <c:pt idx="43">
                  <c:v>2.15</c:v>
                </c:pt>
                <c:pt idx="44" formatCode="0.0">
                  <c:v>2.2000000000000002</c:v>
                </c:pt>
                <c:pt idx="45">
                  <c:v>2.25</c:v>
                </c:pt>
                <c:pt idx="46" formatCode="0.0">
                  <c:v>2.2999999999999998</c:v>
                </c:pt>
                <c:pt idx="47">
                  <c:v>2.35</c:v>
                </c:pt>
                <c:pt idx="48" formatCode="0.0">
                  <c:v>2.4</c:v>
                </c:pt>
                <c:pt idx="49">
                  <c:v>2.4500000000000002</c:v>
                </c:pt>
                <c:pt idx="50" formatCode="0.0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69-4B4B-AF45-2CC522F79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112496"/>
        <c:axId val="535112824"/>
      </c:scatterChart>
      <c:valAx>
        <c:axId val="535112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Integrated Inflow</a:t>
                </a:r>
                <a:r>
                  <a:rPr lang="nl-NL" baseline="0"/>
                  <a:t> Volume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35112824"/>
        <c:crosses val="autoZero"/>
        <c:crossBetween val="midCat"/>
      </c:valAx>
      <c:valAx>
        <c:axId val="535112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Water</a:t>
                </a:r>
                <a:r>
                  <a:rPr lang="nl-NL" baseline="0"/>
                  <a:t> Level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35112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T3 Analytical Solution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'T3'!$F$6:$F$56</c:f>
              <c:numCache>
                <c:formatCode>General</c:formatCode>
                <c:ptCount val="51"/>
                <c:pt idx="0">
                  <c:v>0</c:v>
                </c:pt>
                <c:pt idx="1">
                  <c:v>1588.75</c:v>
                </c:pt>
                <c:pt idx="2">
                  <c:v>3280</c:v>
                </c:pt>
                <c:pt idx="3">
                  <c:v>5073.75</c:v>
                </c:pt>
                <c:pt idx="4">
                  <c:v>6970</c:v>
                </c:pt>
                <c:pt idx="5">
                  <c:v>8968.75</c:v>
                </c:pt>
                <c:pt idx="6">
                  <c:v>11070</c:v>
                </c:pt>
                <c:pt idx="7">
                  <c:v>13273.75</c:v>
                </c:pt>
                <c:pt idx="8">
                  <c:v>15580</c:v>
                </c:pt>
                <c:pt idx="9">
                  <c:v>17988.75</c:v>
                </c:pt>
                <c:pt idx="10">
                  <c:v>20500</c:v>
                </c:pt>
                <c:pt idx="11">
                  <c:v>23113.75</c:v>
                </c:pt>
                <c:pt idx="12">
                  <c:v>25830</c:v>
                </c:pt>
                <c:pt idx="13">
                  <c:v>28648.75</c:v>
                </c:pt>
                <c:pt idx="14">
                  <c:v>31570</c:v>
                </c:pt>
                <c:pt idx="15">
                  <c:v>34593.75</c:v>
                </c:pt>
                <c:pt idx="16">
                  <c:v>37720</c:v>
                </c:pt>
                <c:pt idx="17">
                  <c:v>40948.75</c:v>
                </c:pt>
                <c:pt idx="18">
                  <c:v>44280</c:v>
                </c:pt>
                <c:pt idx="19">
                  <c:v>47713.75</c:v>
                </c:pt>
                <c:pt idx="20">
                  <c:v>51250</c:v>
                </c:pt>
                <c:pt idx="21">
                  <c:v>55879.566666666673</c:v>
                </c:pt>
                <c:pt idx="22">
                  <c:v>60543.266666666677</c:v>
                </c:pt>
                <c:pt idx="23">
                  <c:v>65241.099999999991</c:v>
                </c:pt>
                <c:pt idx="24">
                  <c:v>69973.066666666651</c:v>
                </c:pt>
                <c:pt idx="25">
                  <c:v>74739.166666666657</c:v>
                </c:pt>
                <c:pt idx="26">
                  <c:v>79539.400000000009</c:v>
                </c:pt>
                <c:pt idx="27">
                  <c:v>84373.766666666663</c:v>
                </c:pt>
                <c:pt idx="28">
                  <c:v>89242.266666666648</c:v>
                </c:pt>
                <c:pt idx="29">
                  <c:v>94144.9</c:v>
                </c:pt>
                <c:pt idx="30">
                  <c:v>99081.666666666657</c:v>
                </c:pt>
                <c:pt idx="31">
                  <c:v>104052.56666666665</c:v>
                </c:pt>
                <c:pt idx="32">
                  <c:v>109057.60000000001</c:v>
                </c:pt>
                <c:pt idx="33">
                  <c:v>114096.76666666665</c:v>
                </c:pt>
                <c:pt idx="34">
                  <c:v>119170.06666666665</c:v>
                </c:pt>
                <c:pt idx="35">
                  <c:v>124277.5</c:v>
                </c:pt>
                <c:pt idx="36">
                  <c:v>129419.06666666665</c:v>
                </c:pt>
                <c:pt idx="37">
                  <c:v>134594.76666666669</c:v>
                </c:pt>
                <c:pt idx="38">
                  <c:v>139804.6</c:v>
                </c:pt>
                <c:pt idx="39">
                  <c:v>145048.56666666668</c:v>
                </c:pt>
                <c:pt idx="40">
                  <c:v>150326.66666666669</c:v>
                </c:pt>
                <c:pt idx="41">
                  <c:v>155638.89999999997</c:v>
                </c:pt>
                <c:pt idx="42">
                  <c:v>160985.26666666669</c:v>
                </c:pt>
                <c:pt idx="43">
                  <c:v>166365.76666666669</c:v>
                </c:pt>
                <c:pt idx="44">
                  <c:v>171780.40000000002</c:v>
                </c:pt>
                <c:pt idx="45">
                  <c:v>177229.16666666669</c:v>
                </c:pt>
                <c:pt idx="46">
                  <c:v>182712.06666666665</c:v>
                </c:pt>
                <c:pt idx="47">
                  <c:v>188229.1</c:v>
                </c:pt>
                <c:pt idx="48">
                  <c:v>193780.26666666669</c:v>
                </c:pt>
                <c:pt idx="49">
                  <c:v>199365.56666666671</c:v>
                </c:pt>
                <c:pt idx="50">
                  <c:v>204985</c:v>
                </c:pt>
              </c:numCache>
            </c:numRef>
          </c:xVal>
          <c:yVal>
            <c:numRef>
              <c:f>'T3'!$A$6:$A$56</c:f>
              <c:numCache>
                <c:formatCode>0.00</c:formatCode>
                <c:ptCount val="51"/>
                <c:pt idx="0" formatCode="General">
                  <c:v>0</c:v>
                </c:pt>
                <c:pt idx="1">
                  <c:v>0.05</c:v>
                </c:pt>
                <c:pt idx="2" formatCode="0.0">
                  <c:v>0.1</c:v>
                </c:pt>
                <c:pt idx="3">
                  <c:v>0.15</c:v>
                </c:pt>
                <c:pt idx="4" formatCode="0.0">
                  <c:v>0.2</c:v>
                </c:pt>
                <c:pt idx="5">
                  <c:v>0.25</c:v>
                </c:pt>
                <c:pt idx="6" formatCode="0.0">
                  <c:v>0.3</c:v>
                </c:pt>
                <c:pt idx="7">
                  <c:v>0.35</c:v>
                </c:pt>
                <c:pt idx="8" formatCode="0.0">
                  <c:v>0.4</c:v>
                </c:pt>
                <c:pt idx="9">
                  <c:v>0.45</c:v>
                </c:pt>
                <c:pt idx="10" formatCode="0.0">
                  <c:v>0.5</c:v>
                </c:pt>
                <c:pt idx="11">
                  <c:v>0.55000000000000004</c:v>
                </c:pt>
                <c:pt idx="12" formatCode="0.0">
                  <c:v>0.6</c:v>
                </c:pt>
                <c:pt idx="13">
                  <c:v>0.65</c:v>
                </c:pt>
                <c:pt idx="14" formatCode="0.0">
                  <c:v>0.7</c:v>
                </c:pt>
                <c:pt idx="15">
                  <c:v>0.75</c:v>
                </c:pt>
                <c:pt idx="16" formatCode="0.0">
                  <c:v>0.8</c:v>
                </c:pt>
                <c:pt idx="17">
                  <c:v>0.85</c:v>
                </c:pt>
                <c:pt idx="18" formatCode="0.0">
                  <c:v>0.9</c:v>
                </c:pt>
                <c:pt idx="19">
                  <c:v>0.95</c:v>
                </c:pt>
                <c:pt idx="20" formatCode="0.0">
                  <c:v>1</c:v>
                </c:pt>
                <c:pt idx="21">
                  <c:v>1.05</c:v>
                </c:pt>
                <c:pt idx="22" formatCode="0.0">
                  <c:v>1.1000000000000001</c:v>
                </c:pt>
                <c:pt idx="23">
                  <c:v>1.1499999999999999</c:v>
                </c:pt>
                <c:pt idx="24" formatCode="0.0">
                  <c:v>1.2</c:v>
                </c:pt>
                <c:pt idx="25">
                  <c:v>1.25</c:v>
                </c:pt>
                <c:pt idx="26" formatCode="0.0">
                  <c:v>1.3</c:v>
                </c:pt>
                <c:pt idx="27">
                  <c:v>1.35</c:v>
                </c:pt>
                <c:pt idx="28" formatCode="0.0">
                  <c:v>1.4</c:v>
                </c:pt>
                <c:pt idx="29">
                  <c:v>1.45</c:v>
                </c:pt>
                <c:pt idx="30" formatCode="0.0">
                  <c:v>1.5</c:v>
                </c:pt>
                <c:pt idx="31">
                  <c:v>1.55</c:v>
                </c:pt>
                <c:pt idx="32" formatCode="0.0">
                  <c:v>1.6</c:v>
                </c:pt>
                <c:pt idx="33">
                  <c:v>1.65</c:v>
                </c:pt>
                <c:pt idx="34" formatCode="0.0">
                  <c:v>1.7</c:v>
                </c:pt>
                <c:pt idx="35">
                  <c:v>1.75</c:v>
                </c:pt>
                <c:pt idx="36" formatCode="0.0">
                  <c:v>1.8</c:v>
                </c:pt>
                <c:pt idx="37">
                  <c:v>1.85</c:v>
                </c:pt>
                <c:pt idx="38" formatCode="0.0">
                  <c:v>1.9</c:v>
                </c:pt>
                <c:pt idx="39">
                  <c:v>1.95</c:v>
                </c:pt>
                <c:pt idx="40" formatCode="0.0">
                  <c:v>2</c:v>
                </c:pt>
                <c:pt idx="41">
                  <c:v>2.0499999999999998</c:v>
                </c:pt>
                <c:pt idx="42" formatCode="0.0">
                  <c:v>2.1</c:v>
                </c:pt>
                <c:pt idx="43">
                  <c:v>2.15</c:v>
                </c:pt>
                <c:pt idx="44" formatCode="0.0">
                  <c:v>2.2000000000000002</c:v>
                </c:pt>
                <c:pt idx="45">
                  <c:v>2.25</c:v>
                </c:pt>
                <c:pt idx="46" formatCode="0.0">
                  <c:v>2.2999999999999998</c:v>
                </c:pt>
                <c:pt idx="47">
                  <c:v>2.35</c:v>
                </c:pt>
                <c:pt idx="48" formatCode="0.0">
                  <c:v>2.4</c:v>
                </c:pt>
                <c:pt idx="49">
                  <c:v>2.4500000000000002</c:v>
                </c:pt>
                <c:pt idx="50" formatCode="0.0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07-41CE-90F1-6E205E342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112496"/>
        <c:axId val="535112824"/>
      </c:scatterChart>
      <c:valAx>
        <c:axId val="535112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Integrated Inflow</a:t>
                </a:r>
                <a:r>
                  <a:rPr lang="nl-NL" baseline="0"/>
                  <a:t> Volume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35112824"/>
        <c:crosses val="autoZero"/>
        <c:crossBetween val="midCat"/>
      </c:valAx>
      <c:valAx>
        <c:axId val="535112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Water</a:t>
                </a:r>
                <a:r>
                  <a:rPr lang="nl-NL" baseline="0"/>
                  <a:t> Level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35112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605790</xdr:colOff>
      <xdr:row>4</xdr:row>
      <xdr:rowOff>1</xdr:rowOff>
    </xdr:from>
    <xdr:to>
      <xdr:col>20</xdr:col>
      <xdr:colOff>336550</xdr:colOff>
      <xdr:row>21</xdr:row>
      <xdr:rowOff>47626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1343E6-B88E-4F90-9DCB-749B3DD53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11665" y="762001"/>
          <a:ext cx="6871335" cy="3286125"/>
        </a:xfrm>
        <a:prstGeom prst="rect">
          <a:avLst/>
        </a:prstGeom>
      </xdr:spPr>
    </xdr:pic>
    <xdr:clientData/>
  </xdr:twoCellAnchor>
  <xdr:twoCellAnchor>
    <xdr:from>
      <xdr:col>10</xdr:col>
      <xdr:colOff>12699</xdr:colOff>
      <xdr:row>34</xdr:row>
      <xdr:rowOff>177800</xdr:rowOff>
    </xdr:from>
    <xdr:to>
      <xdr:col>21</xdr:col>
      <xdr:colOff>149225</xdr:colOff>
      <xdr:row>58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1D0595-C19F-4DB9-B5D8-6B5A14C5D5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47626</xdr:colOff>
      <xdr:row>1</xdr:row>
      <xdr:rowOff>154782</xdr:rowOff>
    </xdr:from>
    <xdr:to>
      <xdr:col>31</xdr:col>
      <xdr:colOff>222887</xdr:colOff>
      <xdr:row>19</xdr:row>
      <xdr:rowOff>11907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7BA57C-4698-497D-8E0D-1FD2356B5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6251" y="345282"/>
          <a:ext cx="6854666" cy="3286125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24</xdr:row>
      <xdr:rowOff>0</xdr:rowOff>
    </xdr:from>
    <xdr:to>
      <xdr:col>31</xdr:col>
      <xdr:colOff>147865</xdr:colOff>
      <xdr:row>47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494D7B-C2D8-4E25-8B4A-4AF744B28B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11</xdr:row>
      <xdr:rowOff>0</xdr:rowOff>
    </xdr:from>
    <xdr:to>
      <xdr:col>23</xdr:col>
      <xdr:colOff>147865</xdr:colOff>
      <xdr:row>34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5BCD25-FD47-40FD-958E-8293B24A8C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hris Luger" id="{65260D25-C37F-4A2D-B86F-DE0CE6835CAC}" userId="S::Chris.Luger@deltares.nl::7849d5cb-27fd-4fac-8e50-69c86f3dfcb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7" dT="2019-07-17T08:14:45.96" personId="{65260D25-C37F-4A2D-B86F-DE0CE6835CAC}" id="{C4BF51F8-771D-48DF-9919-F5DA37CD2DE9}">
    <text>Above 1 m a section of the main channel will always be full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1272D-88FA-41B5-A6FC-FBB5AC2A1851}">
  <dimension ref="A1:Z56"/>
  <sheetViews>
    <sheetView tabSelected="1" zoomScale="60" zoomScaleNormal="60" workbookViewId="0">
      <selection activeCell="D15" sqref="D15"/>
    </sheetView>
  </sheetViews>
  <sheetFormatPr defaultRowHeight="15" x14ac:dyDescent="0.25"/>
  <cols>
    <col min="1" max="2" width="34.7109375" customWidth="1"/>
    <col min="3" max="3" width="19" customWidth="1"/>
    <col min="4" max="4" width="30.85546875" bestFit="1" customWidth="1"/>
    <col min="5" max="5" width="19" customWidth="1"/>
    <col min="6" max="6" width="30.85546875" bestFit="1" customWidth="1"/>
    <col min="11" max="11" width="14.140625" bestFit="1" customWidth="1"/>
    <col min="12" max="13" width="10.28515625" customWidth="1"/>
    <col min="14" max="14" width="9" customWidth="1"/>
    <col min="16" max="16" width="8.42578125" customWidth="1"/>
    <col min="22" max="22" width="16.28515625" customWidth="1"/>
    <col min="23" max="23" width="13.7109375" bestFit="1" customWidth="1"/>
    <col min="24" max="24" width="22.140625" customWidth="1"/>
    <col min="25" max="25" width="12.85546875" bestFit="1" customWidth="1"/>
  </cols>
  <sheetData>
    <row r="1" spans="1:3" x14ac:dyDescent="0.25">
      <c r="A1" t="s">
        <v>4</v>
      </c>
      <c r="B1">
        <v>0.2</v>
      </c>
    </row>
    <row r="2" spans="1:3" x14ac:dyDescent="0.25">
      <c r="A2" t="s">
        <v>6</v>
      </c>
      <c r="B2">
        <v>10</v>
      </c>
    </row>
    <row r="3" spans="1:3" x14ac:dyDescent="0.25">
      <c r="A3" t="s">
        <v>5</v>
      </c>
      <c r="B3">
        <v>2050</v>
      </c>
    </row>
    <row r="5" spans="1:3" x14ac:dyDescent="0.25">
      <c r="A5" t="s">
        <v>9</v>
      </c>
      <c r="B5" t="s">
        <v>4</v>
      </c>
      <c r="C5" t="s">
        <v>7</v>
      </c>
    </row>
    <row r="6" spans="1:3" x14ac:dyDescent="0.25">
      <c r="A6">
        <v>0</v>
      </c>
      <c r="B6">
        <v>0</v>
      </c>
      <c r="C6">
        <v>0</v>
      </c>
    </row>
    <row r="7" spans="1:3" x14ac:dyDescent="0.25">
      <c r="A7" s="1">
        <v>0.05</v>
      </c>
      <c r="B7" s="3">
        <f>(10*A7^2+10*A7)*$B$3</f>
        <v>1076.25</v>
      </c>
      <c r="C7" s="4">
        <f>(B7/0.2)/60/60</f>
        <v>1.4947916666666667</v>
      </c>
    </row>
    <row r="8" spans="1:3" x14ac:dyDescent="0.25">
      <c r="A8" s="2">
        <v>0.1</v>
      </c>
      <c r="B8" s="3">
        <f t="shared" ref="B8:B25" si="0">(10*A8^2+10*A8)*$B$3</f>
        <v>2255</v>
      </c>
      <c r="C8" s="4">
        <f t="shared" ref="C8:C42" si="1">(B8/0.2)/60/60</f>
        <v>3.1319444444444442</v>
      </c>
    </row>
    <row r="9" spans="1:3" x14ac:dyDescent="0.25">
      <c r="A9" s="1">
        <v>0.15</v>
      </c>
      <c r="B9" s="3">
        <f t="shared" si="0"/>
        <v>3536.25</v>
      </c>
      <c r="C9" s="4">
        <f t="shared" si="1"/>
        <v>4.911458333333333</v>
      </c>
    </row>
    <row r="10" spans="1:3" x14ac:dyDescent="0.25">
      <c r="A10" s="2">
        <v>0.2</v>
      </c>
      <c r="B10" s="3">
        <f t="shared" si="0"/>
        <v>4920</v>
      </c>
      <c r="C10" s="4">
        <f t="shared" si="1"/>
        <v>6.833333333333333</v>
      </c>
    </row>
    <row r="11" spans="1:3" x14ac:dyDescent="0.25">
      <c r="A11" s="1">
        <v>0.25</v>
      </c>
      <c r="B11" s="3">
        <f t="shared" si="0"/>
        <v>6406.25</v>
      </c>
      <c r="C11" s="4">
        <f t="shared" si="1"/>
        <v>8.8975694444444446</v>
      </c>
    </row>
    <row r="12" spans="1:3" x14ac:dyDescent="0.25">
      <c r="A12" s="2">
        <v>0.3</v>
      </c>
      <c r="B12" s="3">
        <f t="shared" si="0"/>
        <v>7995</v>
      </c>
      <c r="C12" s="4">
        <f t="shared" si="1"/>
        <v>11.104166666666666</v>
      </c>
    </row>
    <row r="13" spans="1:3" x14ac:dyDescent="0.25">
      <c r="A13" s="1">
        <v>0.35</v>
      </c>
      <c r="B13" s="3">
        <f t="shared" si="0"/>
        <v>9686.25</v>
      </c>
      <c r="C13" s="4">
        <f t="shared" si="1"/>
        <v>13.453125</v>
      </c>
    </row>
    <row r="14" spans="1:3" x14ac:dyDescent="0.25">
      <c r="A14" s="2">
        <v>0.4</v>
      </c>
      <c r="B14" s="3">
        <f t="shared" si="0"/>
        <v>11480.000000000002</v>
      </c>
      <c r="C14" s="4">
        <f t="shared" si="1"/>
        <v>15.944444444444446</v>
      </c>
    </row>
    <row r="15" spans="1:3" x14ac:dyDescent="0.25">
      <c r="A15" s="1">
        <v>0.45</v>
      </c>
      <c r="B15" s="3">
        <f t="shared" si="0"/>
        <v>13376.25</v>
      </c>
      <c r="C15" s="4">
        <f t="shared" si="1"/>
        <v>18.578125</v>
      </c>
    </row>
    <row r="16" spans="1:3" x14ac:dyDescent="0.25">
      <c r="A16" s="2">
        <v>0.5</v>
      </c>
      <c r="B16" s="3">
        <f t="shared" si="0"/>
        <v>15375</v>
      </c>
      <c r="C16" s="4">
        <f t="shared" si="1"/>
        <v>21.354166666666668</v>
      </c>
    </row>
    <row r="17" spans="1:26" x14ac:dyDescent="0.25">
      <c r="A17" s="1">
        <v>0.55000000000000004</v>
      </c>
      <c r="B17" s="3">
        <f t="shared" si="0"/>
        <v>17476.25</v>
      </c>
      <c r="C17" s="4">
        <f t="shared" si="1"/>
        <v>24.272569444444446</v>
      </c>
    </row>
    <row r="18" spans="1:26" x14ac:dyDescent="0.25">
      <c r="A18" s="2">
        <v>0.6</v>
      </c>
      <c r="B18" s="3">
        <f t="shared" si="0"/>
        <v>19680</v>
      </c>
      <c r="C18" s="4">
        <f t="shared" si="1"/>
        <v>27.333333333333332</v>
      </c>
      <c r="G18" s="2"/>
    </row>
    <row r="19" spans="1:26" x14ac:dyDescent="0.25">
      <c r="A19" s="1">
        <v>0.65</v>
      </c>
      <c r="B19" s="3">
        <f t="shared" si="0"/>
        <v>21986.250000000004</v>
      </c>
      <c r="C19" s="4">
        <f t="shared" si="1"/>
        <v>30.536458333333336</v>
      </c>
      <c r="G19" s="2"/>
    </row>
    <row r="20" spans="1:26" x14ac:dyDescent="0.25">
      <c r="A20" s="2">
        <v>0.7</v>
      </c>
      <c r="B20" s="3">
        <f t="shared" si="0"/>
        <v>24394.999999999996</v>
      </c>
      <c r="C20" s="4">
        <f t="shared" si="1"/>
        <v>33.881944444444436</v>
      </c>
      <c r="G20" s="2"/>
    </row>
    <row r="21" spans="1:26" x14ac:dyDescent="0.25">
      <c r="A21" s="1">
        <v>0.75</v>
      </c>
      <c r="B21" s="3">
        <f t="shared" si="0"/>
        <v>26906.25</v>
      </c>
      <c r="C21" s="4">
        <f t="shared" si="1"/>
        <v>37.369791666666664</v>
      </c>
      <c r="G21" s="2"/>
    </row>
    <row r="22" spans="1:26" x14ac:dyDescent="0.25">
      <c r="A22" s="2">
        <v>0.8</v>
      </c>
      <c r="B22" s="3">
        <f t="shared" si="0"/>
        <v>29520.000000000004</v>
      </c>
      <c r="C22" s="4">
        <f t="shared" si="1"/>
        <v>41</v>
      </c>
      <c r="G22" s="2"/>
    </row>
    <row r="23" spans="1:26" x14ac:dyDescent="0.25">
      <c r="A23" s="1">
        <v>0.85</v>
      </c>
      <c r="B23" s="3">
        <f t="shared" si="0"/>
        <v>32236.25</v>
      </c>
      <c r="C23" s="4">
        <f t="shared" si="1"/>
        <v>44.772569444444443</v>
      </c>
      <c r="G23" s="2"/>
      <c r="W23" t="s">
        <v>0</v>
      </c>
      <c r="X23" t="s">
        <v>1</v>
      </c>
      <c r="Y23" t="s">
        <v>2</v>
      </c>
      <c r="Z23" t="s">
        <v>3</v>
      </c>
    </row>
    <row r="24" spans="1:26" x14ac:dyDescent="0.25">
      <c r="A24" s="2">
        <v>0.9</v>
      </c>
      <c r="B24" s="3">
        <f t="shared" si="0"/>
        <v>35055</v>
      </c>
      <c r="C24" s="4">
        <f t="shared" si="1"/>
        <v>48.6875</v>
      </c>
      <c r="G24" s="2"/>
      <c r="L24">
        <f>(0.5*5)+(1.5*5)/2</f>
        <v>6.25</v>
      </c>
      <c r="M24">
        <f>5*2</f>
        <v>10</v>
      </c>
      <c r="N24" s="9">
        <f>(2*10)+(1*10)/2</f>
        <v>25</v>
      </c>
      <c r="O24" s="9"/>
      <c r="P24">
        <f>3*5</f>
        <v>15</v>
      </c>
      <c r="Q24">
        <f>3*5</f>
        <v>15</v>
      </c>
      <c r="R24" s="9">
        <f>(2*10)+(1*10)/2</f>
        <v>25</v>
      </c>
      <c r="S24" s="9"/>
      <c r="T24">
        <f>5*2</f>
        <v>10</v>
      </c>
      <c r="U24">
        <f>(0.5*5)+(1.5*5)/2</f>
        <v>6.25</v>
      </c>
      <c r="W24">
        <f>SUM(L24:U24)</f>
        <v>112.5</v>
      </c>
      <c r="X24" s="3">
        <f>W24*2000</f>
        <v>225000</v>
      </c>
      <c r="Y24">
        <f>X24/(3*24*60*60)</f>
        <v>0.86805555555555558</v>
      </c>
    </row>
    <row r="25" spans="1:26" x14ac:dyDescent="0.25">
      <c r="A25" s="1">
        <v>0.95</v>
      </c>
      <c r="B25" s="3">
        <f t="shared" si="0"/>
        <v>37976.25</v>
      </c>
      <c r="C25" s="4">
        <f t="shared" si="1"/>
        <v>52.744791666666664</v>
      </c>
      <c r="G25" s="2"/>
      <c r="K25">
        <v>0.5</v>
      </c>
      <c r="L25">
        <f>SQRT(5^2+1.5^2)</f>
        <v>5.2201532544552753</v>
      </c>
      <c r="M25">
        <v>5</v>
      </c>
      <c r="N25" s="10">
        <f>SQRT(1^2+10^2)</f>
        <v>10.04987562112089</v>
      </c>
      <c r="O25" s="10"/>
      <c r="P25">
        <v>5</v>
      </c>
      <c r="Q25">
        <v>5</v>
      </c>
      <c r="R25" s="10">
        <f>SQRT(1^2+10^2)</f>
        <v>10.04987562112089</v>
      </c>
      <c r="S25" s="10"/>
      <c r="T25">
        <v>5</v>
      </c>
      <c r="U25">
        <f>SQRT(5^2+1.5^2)</f>
        <v>5.2201532544552753</v>
      </c>
      <c r="V25">
        <v>0.5</v>
      </c>
      <c r="W25">
        <f>SUM(K25:V25)</f>
        <v>51.540057751152332</v>
      </c>
    </row>
    <row r="26" spans="1:26" x14ac:dyDescent="0.25">
      <c r="A26" s="2">
        <v>1</v>
      </c>
      <c r="B26" s="3">
        <f>(10*A26^2+10*A26)*$B$3</f>
        <v>41000</v>
      </c>
      <c r="C26" s="4">
        <f t="shared" si="1"/>
        <v>56.944444444444443</v>
      </c>
      <c r="G26" s="2"/>
    </row>
    <row r="27" spans="1:26" x14ac:dyDescent="0.25">
      <c r="A27" s="1">
        <v>1.05</v>
      </c>
      <c r="B27" s="3">
        <f>(3.33*(A27-1)^2+40*(A27-1))*$B$3+$B$26</f>
        <v>45117.066250000003</v>
      </c>
      <c r="C27" s="4">
        <f t="shared" si="1"/>
        <v>62.662592013888897</v>
      </c>
      <c r="G27" s="2"/>
      <c r="J27" t="s">
        <v>22</v>
      </c>
      <c r="K27">
        <f>-9.81*(0.2^2)/(45*W25*W24)</f>
        <v>-1.5039003542711036E-6</v>
      </c>
    </row>
    <row r="28" spans="1:26" x14ac:dyDescent="0.25">
      <c r="A28" s="2">
        <v>1.1000000000000001</v>
      </c>
      <c r="B28" s="3">
        <f t="shared" ref="B28:B56" si="2">(3.33*(A28-1)^2+40*(A28-1))*$B$3+$B$26</f>
        <v>49268.265000000007</v>
      </c>
      <c r="C28" s="4">
        <f t="shared" si="1"/>
        <v>68.428145833333332</v>
      </c>
      <c r="G28" s="2"/>
      <c r="K28">
        <f>-9.81*(0.1^2)/(45*W25*W24)</f>
        <v>-3.759750885677759E-7</v>
      </c>
    </row>
    <row r="29" spans="1:26" x14ac:dyDescent="0.25">
      <c r="A29" s="1">
        <v>1.1499999999999999</v>
      </c>
      <c r="B29" s="3">
        <f t="shared" si="2"/>
        <v>53453.596249999995</v>
      </c>
      <c r="C29" s="4">
        <f t="shared" si="1"/>
        <v>74.241105902777761</v>
      </c>
      <c r="G29" s="2"/>
    </row>
    <row r="30" spans="1:26" x14ac:dyDescent="0.25">
      <c r="A30" s="2">
        <v>1.2</v>
      </c>
      <c r="B30" s="3">
        <f t="shared" si="2"/>
        <v>57673.06</v>
      </c>
      <c r="C30" s="4">
        <f t="shared" si="1"/>
        <v>80.101472222222213</v>
      </c>
      <c r="G30" s="2"/>
    </row>
    <row r="31" spans="1:26" x14ac:dyDescent="0.25">
      <c r="A31" s="1">
        <v>1.25</v>
      </c>
      <c r="B31" s="3">
        <f t="shared" si="2"/>
        <v>61926.65625</v>
      </c>
      <c r="C31" s="4">
        <f t="shared" si="1"/>
        <v>86.00924479166666</v>
      </c>
      <c r="G31" s="2"/>
    </row>
    <row r="32" spans="1:26" x14ac:dyDescent="0.25">
      <c r="A32" s="2">
        <v>1.3</v>
      </c>
      <c r="B32" s="3">
        <f t="shared" si="2"/>
        <v>66214.385000000009</v>
      </c>
      <c r="C32" s="4">
        <f t="shared" si="1"/>
        <v>91.96442361111113</v>
      </c>
    </row>
    <row r="33" spans="1:3" x14ac:dyDescent="0.25">
      <c r="A33" s="1">
        <v>1.35</v>
      </c>
      <c r="B33" s="3">
        <f t="shared" si="2"/>
        <v>70536.246250000011</v>
      </c>
      <c r="C33" s="4">
        <f t="shared" si="1"/>
        <v>97.967008680555566</v>
      </c>
    </row>
    <row r="34" spans="1:3" x14ac:dyDescent="0.25">
      <c r="A34" s="2">
        <v>1.4</v>
      </c>
      <c r="B34" s="3">
        <f t="shared" si="2"/>
        <v>74892.239999999991</v>
      </c>
      <c r="C34" s="4">
        <f t="shared" si="1"/>
        <v>104.017</v>
      </c>
    </row>
    <row r="35" spans="1:3" x14ac:dyDescent="0.25">
      <c r="A35" s="1">
        <v>1.45</v>
      </c>
      <c r="B35" s="3">
        <f t="shared" si="2"/>
        <v>79282.366249999992</v>
      </c>
      <c r="C35" s="4">
        <f t="shared" si="1"/>
        <v>110.11439756944442</v>
      </c>
    </row>
    <row r="36" spans="1:3" x14ac:dyDescent="0.25">
      <c r="A36" s="2">
        <v>1.5</v>
      </c>
      <c r="B36" s="3">
        <f t="shared" si="2"/>
        <v>83706.625</v>
      </c>
      <c r="C36" s="4">
        <f t="shared" si="1"/>
        <v>116.25920138888888</v>
      </c>
    </row>
    <row r="37" spans="1:3" x14ac:dyDescent="0.25">
      <c r="A37" s="1">
        <v>1.55</v>
      </c>
      <c r="B37" s="3">
        <f t="shared" si="2"/>
        <v>88165.016250000001</v>
      </c>
      <c r="C37" s="4">
        <f t="shared" si="1"/>
        <v>122.45141145833333</v>
      </c>
    </row>
    <row r="38" spans="1:3" x14ac:dyDescent="0.25">
      <c r="A38" s="2">
        <v>1.6</v>
      </c>
      <c r="B38" s="3">
        <f t="shared" si="2"/>
        <v>92657.540000000008</v>
      </c>
      <c r="C38" s="4">
        <f t="shared" si="1"/>
        <v>128.69102777777778</v>
      </c>
    </row>
    <row r="39" spans="1:3" x14ac:dyDescent="0.25">
      <c r="A39" s="1">
        <v>1.65</v>
      </c>
      <c r="B39" s="3">
        <f t="shared" si="2"/>
        <v>97184.196249999994</v>
      </c>
      <c r="C39" s="4">
        <f t="shared" si="1"/>
        <v>134.97805034722219</v>
      </c>
    </row>
    <row r="40" spans="1:3" x14ac:dyDescent="0.25">
      <c r="A40" s="2">
        <v>1.7</v>
      </c>
      <c r="B40" s="3">
        <f t="shared" si="2"/>
        <v>101744.985</v>
      </c>
      <c r="C40" s="4">
        <f t="shared" si="1"/>
        <v>141.31247916666669</v>
      </c>
    </row>
    <row r="41" spans="1:3" x14ac:dyDescent="0.25">
      <c r="A41" s="1">
        <v>1.75</v>
      </c>
      <c r="B41" s="3">
        <f t="shared" si="2"/>
        <v>106339.90625</v>
      </c>
      <c r="C41" s="4">
        <f t="shared" si="1"/>
        <v>147.6943142361111</v>
      </c>
    </row>
    <row r="42" spans="1:3" x14ac:dyDescent="0.25">
      <c r="A42" s="1">
        <v>1.8</v>
      </c>
      <c r="B42" s="3">
        <f t="shared" si="2"/>
        <v>110968.96000000001</v>
      </c>
      <c r="C42" s="4">
        <f t="shared" si="1"/>
        <v>154.12355555555555</v>
      </c>
    </row>
    <row r="43" spans="1:3" x14ac:dyDescent="0.25">
      <c r="A43" s="1">
        <v>1.85</v>
      </c>
      <c r="B43" s="3">
        <f t="shared" si="2"/>
        <v>115632.14625000001</v>
      </c>
      <c r="C43" s="4">
        <f t="shared" ref="C43:C55" si="3">(B43/0.2)/60/60</f>
        <v>160.60020312499998</v>
      </c>
    </row>
    <row r="44" spans="1:3" x14ac:dyDescent="0.25">
      <c r="A44" s="1">
        <v>1.9</v>
      </c>
      <c r="B44" s="3">
        <f t="shared" si="2"/>
        <v>120329.465</v>
      </c>
      <c r="C44" s="4">
        <f t="shared" si="3"/>
        <v>167.12425694444443</v>
      </c>
    </row>
    <row r="45" spans="1:3" x14ac:dyDescent="0.25">
      <c r="A45" s="1">
        <v>1.95</v>
      </c>
      <c r="B45" s="3">
        <f t="shared" si="2"/>
        <v>125060.91624999999</v>
      </c>
      <c r="C45" s="4">
        <f t="shared" si="3"/>
        <v>173.69571701388887</v>
      </c>
    </row>
    <row r="46" spans="1:3" x14ac:dyDescent="0.25">
      <c r="A46" s="1">
        <v>2</v>
      </c>
      <c r="B46" s="3">
        <f t="shared" si="2"/>
        <v>129826.5</v>
      </c>
      <c r="C46" s="4">
        <f t="shared" si="3"/>
        <v>180.31458333333333</v>
      </c>
    </row>
    <row r="47" spans="1:3" x14ac:dyDescent="0.25">
      <c r="A47" s="1">
        <v>2.0499999999999998</v>
      </c>
      <c r="B47" s="3">
        <f t="shared" si="2"/>
        <v>134626.21625</v>
      </c>
      <c r="C47" s="4">
        <f t="shared" si="3"/>
        <v>186.98085590277776</v>
      </c>
    </row>
    <row r="48" spans="1:3" x14ac:dyDescent="0.25">
      <c r="A48" s="1">
        <v>2.1</v>
      </c>
      <c r="B48" s="3">
        <f t="shared" si="2"/>
        <v>139460.065</v>
      </c>
      <c r="C48" s="4">
        <f t="shared" si="3"/>
        <v>193.69453472222222</v>
      </c>
    </row>
    <row r="49" spans="1:3" x14ac:dyDescent="0.25">
      <c r="A49" s="1">
        <v>2.15</v>
      </c>
      <c r="B49" s="3">
        <f t="shared" si="2"/>
        <v>144328.04625000001</v>
      </c>
      <c r="C49" s="4">
        <f t="shared" si="3"/>
        <v>200.45561979166669</v>
      </c>
    </row>
    <row r="50" spans="1:3" x14ac:dyDescent="0.25">
      <c r="A50" s="1">
        <v>2.2000000000000002</v>
      </c>
      <c r="B50" s="3">
        <f t="shared" si="2"/>
        <v>149230.16000000003</v>
      </c>
      <c r="C50" s="4">
        <f t="shared" si="3"/>
        <v>207.26411111111116</v>
      </c>
    </row>
    <row r="51" spans="1:3" x14ac:dyDescent="0.25">
      <c r="A51" s="1">
        <v>2.25</v>
      </c>
      <c r="B51" s="3">
        <f t="shared" si="2"/>
        <v>154166.40625</v>
      </c>
      <c r="C51" s="4">
        <f t="shared" si="3"/>
        <v>214.12000868055557</v>
      </c>
    </row>
    <row r="52" spans="1:3" x14ac:dyDescent="0.25">
      <c r="A52" s="1">
        <v>2.2999999999999998</v>
      </c>
      <c r="B52" s="3">
        <f t="shared" si="2"/>
        <v>159136.78499999997</v>
      </c>
      <c r="C52" s="4">
        <f t="shared" si="3"/>
        <v>221.02331249999995</v>
      </c>
    </row>
    <row r="53" spans="1:3" x14ac:dyDescent="0.25">
      <c r="A53" s="1">
        <v>2.35</v>
      </c>
      <c r="B53" s="3">
        <f t="shared" si="2"/>
        <v>164141.29625000001</v>
      </c>
      <c r="C53" s="4">
        <f t="shared" si="3"/>
        <v>227.97402256944446</v>
      </c>
    </row>
    <row r="54" spans="1:3" x14ac:dyDescent="0.25">
      <c r="A54" s="1">
        <v>2.4</v>
      </c>
      <c r="B54" s="3">
        <f t="shared" si="2"/>
        <v>169179.94</v>
      </c>
      <c r="C54" s="4">
        <f t="shared" si="3"/>
        <v>234.97213888888888</v>
      </c>
    </row>
    <row r="55" spans="1:3" x14ac:dyDescent="0.25">
      <c r="A55" s="1">
        <v>2.4500000000000002</v>
      </c>
      <c r="B55" s="3">
        <f t="shared" si="2"/>
        <v>174252.71625000003</v>
      </c>
      <c r="C55" s="4">
        <f t="shared" si="3"/>
        <v>242.01766145833335</v>
      </c>
    </row>
    <row r="56" spans="1:3" x14ac:dyDescent="0.25">
      <c r="A56" s="1">
        <v>2.5</v>
      </c>
      <c r="B56" s="3">
        <f t="shared" si="2"/>
        <v>179359.625</v>
      </c>
      <c r="C56" s="4">
        <f t="shared" ref="C56" si="4">(B56/0.2)/60/60</f>
        <v>249.11059027777776</v>
      </c>
    </row>
  </sheetData>
  <mergeCells count="4">
    <mergeCell ref="N24:O24"/>
    <mergeCell ref="R24:S24"/>
    <mergeCell ref="N25:O25"/>
    <mergeCell ref="R25:S2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49B5D-3311-4D82-B2EB-D9F32C090A14}">
  <dimension ref="A1:W58"/>
  <sheetViews>
    <sheetView zoomScale="70" zoomScaleNormal="70" workbookViewId="0">
      <selection activeCell="N7" sqref="N7"/>
    </sheetView>
  </sheetViews>
  <sheetFormatPr defaultRowHeight="15" x14ac:dyDescent="0.25"/>
  <cols>
    <col min="1" max="1" width="34.28515625" customWidth="1"/>
    <col min="2" max="2" width="22.7109375" customWidth="1"/>
    <col min="3" max="4" width="12.28515625" hidden="1" customWidth="1"/>
    <col min="5" max="5" width="12.85546875" bestFit="1" customWidth="1"/>
    <col min="6" max="6" width="12.85546875" hidden="1" customWidth="1"/>
    <col min="7" max="7" width="9.140625" hidden="1" customWidth="1"/>
    <col min="8" max="8" width="12" hidden="1" customWidth="1"/>
    <col min="9" max="9" width="15.42578125" bestFit="1" customWidth="1"/>
    <col min="10" max="10" width="13.140625" hidden="1" customWidth="1"/>
    <col min="11" max="11" width="12.85546875" hidden="1" customWidth="1"/>
    <col min="12" max="12" width="12.28515625" hidden="1" customWidth="1"/>
    <col min="13" max="13" width="13.5703125" customWidth="1"/>
    <col min="14" max="14" width="21.7109375" customWidth="1"/>
    <col min="15" max="16" width="13.5703125" customWidth="1"/>
    <col min="19" max="19" width="12" bestFit="1" customWidth="1"/>
    <col min="20" max="20" width="9.140625" customWidth="1"/>
  </cols>
  <sheetData>
    <row r="1" spans="1:18" x14ac:dyDescent="0.25">
      <c r="A1" t="s">
        <v>4</v>
      </c>
      <c r="B1">
        <v>0.2</v>
      </c>
    </row>
    <row r="2" spans="1:18" x14ac:dyDescent="0.25">
      <c r="A2" t="s">
        <v>6</v>
      </c>
      <c r="B2">
        <v>10</v>
      </c>
    </row>
    <row r="3" spans="1:18" x14ac:dyDescent="0.25">
      <c r="A3" t="s">
        <v>5</v>
      </c>
      <c r="B3">
        <v>2000</v>
      </c>
    </row>
    <row r="4" spans="1:18" x14ac:dyDescent="0.25">
      <c r="A4" t="s">
        <v>24</v>
      </c>
      <c r="B4">
        <v>25</v>
      </c>
    </row>
    <row r="5" spans="1:18" x14ac:dyDescent="0.25">
      <c r="A5" t="s">
        <v>23</v>
      </c>
      <c r="B5">
        <f>3/2000</f>
        <v>1.5E-3</v>
      </c>
    </row>
    <row r="6" spans="1:18" x14ac:dyDescent="0.25">
      <c r="F6" s="11" t="s">
        <v>26</v>
      </c>
      <c r="G6" s="11"/>
      <c r="H6" s="11"/>
      <c r="J6" s="11" t="s">
        <v>26</v>
      </c>
      <c r="K6" s="11"/>
      <c r="L6" s="11"/>
    </row>
    <row r="7" spans="1:18" x14ac:dyDescent="0.25">
      <c r="A7" t="s">
        <v>21</v>
      </c>
      <c r="C7" t="s">
        <v>8</v>
      </c>
      <c r="D7" t="s">
        <v>15</v>
      </c>
      <c r="E7" s="8" t="s">
        <v>16</v>
      </c>
      <c r="F7" s="8" t="s">
        <v>12</v>
      </c>
      <c r="G7" s="8" t="s">
        <v>13</v>
      </c>
      <c r="H7" s="8" t="s">
        <v>14</v>
      </c>
      <c r="I7" s="8" t="s">
        <v>17</v>
      </c>
      <c r="J7" s="8" t="s">
        <v>12</v>
      </c>
      <c r="K7" s="8" t="s">
        <v>13</v>
      </c>
      <c r="L7" s="8" t="s">
        <v>14</v>
      </c>
      <c r="M7" s="8" t="s">
        <v>18</v>
      </c>
      <c r="N7" s="8" t="s">
        <v>27</v>
      </c>
      <c r="O7" s="8" t="s">
        <v>19</v>
      </c>
      <c r="Q7" t="s">
        <v>7</v>
      </c>
    </row>
    <row r="8" spans="1:18" x14ac:dyDescent="0.25">
      <c r="A8">
        <v>0</v>
      </c>
      <c r="C8" s="6">
        <f>A8*$B$3/3</f>
        <v>0</v>
      </c>
      <c r="D8" s="6" t="s">
        <v>11</v>
      </c>
      <c r="E8" s="6" t="s">
        <v>11</v>
      </c>
      <c r="F8" s="7">
        <v>0</v>
      </c>
      <c r="G8" s="7">
        <v>0</v>
      </c>
      <c r="H8" s="7">
        <v>0</v>
      </c>
      <c r="I8" s="13">
        <v>0</v>
      </c>
      <c r="J8" s="7"/>
      <c r="K8" s="7"/>
      <c r="L8" s="7"/>
      <c r="M8" s="7" t="s">
        <v>11</v>
      </c>
      <c r="N8" s="13">
        <f>((10*A8^2)+(10*A8))*$B$4</f>
        <v>0</v>
      </c>
      <c r="O8" s="7">
        <v>0</v>
      </c>
      <c r="P8" s="7"/>
      <c r="Q8" s="1">
        <v>0</v>
      </c>
    </row>
    <row r="9" spans="1:18" x14ac:dyDescent="0.25">
      <c r="A9" s="1">
        <v>0.05</v>
      </c>
      <c r="B9" s="1"/>
      <c r="C9" s="3">
        <f>A9*$B$3/3</f>
        <v>33.333333333333336</v>
      </c>
      <c r="D9" s="6" t="s">
        <v>11</v>
      </c>
      <c r="E9" s="6" t="s">
        <v>11</v>
      </c>
      <c r="F9" s="4">
        <f>C9*(10*A9^2+10*A9)</f>
        <v>17.500000000000004</v>
      </c>
      <c r="G9">
        <f>(C9^2/2)*((20*A9*$B$5)+(10*$B$5))</f>
        <v>9.1666666666666696</v>
      </c>
      <c r="H9" s="4">
        <f>C9^3*(10/3)*$B$5^2</f>
        <v>0.27777777777777785</v>
      </c>
      <c r="I9" s="4">
        <f>H9-G9+F9</f>
        <v>8.6111111111111125</v>
      </c>
      <c r="J9" s="4"/>
      <c r="K9" s="4"/>
      <c r="L9" s="4"/>
      <c r="M9" s="12" t="s">
        <v>11</v>
      </c>
      <c r="N9" s="13">
        <f>((10*A9^2)+(10*A9))*$B$4</f>
        <v>13.125</v>
      </c>
      <c r="O9" s="4">
        <f>I9+N9</f>
        <v>21.736111111111114</v>
      </c>
      <c r="P9" s="4"/>
      <c r="Q9" s="4">
        <f t="shared" ref="Q9:Q28" si="0">(I9/0.2)/60/60</f>
        <v>1.1959876543209878E-2</v>
      </c>
      <c r="R9" s="4"/>
    </row>
    <row r="10" spans="1:18" x14ac:dyDescent="0.25">
      <c r="A10" s="2">
        <v>0.1</v>
      </c>
      <c r="B10" s="2"/>
      <c r="C10" s="3">
        <f>A10*$B$3/3</f>
        <v>66.666666666666671</v>
      </c>
      <c r="D10" s="6" t="s">
        <v>11</v>
      </c>
      <c r="E10" s="6" t="s">
        <v>11</v>
      </c>
      <c r="F10" s="4">
        <f t="shared" ref="F9:F28" si="1">C10*(10*A10^2+10*A10)</f>
        <v>73.333333333333343</v>
      </c>
      <c r="G10">
        <f>(C10^2/2)*((20*A10*$B$5)+(10*$B$5))</f>
        <v>40.000000000000007</v>
      </c>
      <c r="H10" s="4">
        <f>C10^3*(10/3)*$B$5^2</f>
        <v>2.2222222222222228</v>
      </c>
      <c r="I10" s="4">
        <f t="shared" ref="I10:I28" si="2">H10-G10+F10</f>
        <v>35.555555555555557</v>
      </c>
      <c r="J10" s="4"/>
      <c r="K10" s="4"/>
      <c r="L10" s="4"/>
      <c r="M10" s="12" t="s">
        <v>11</v>
      </c>
      <c r="N10" s="13">
        <f>((10*A10^2)+(10*A10))*$B$4</f>
        <v>27.500000000000004</v>
      </c>
      <c r="O10" s="4">
        <f t="shared" ref="O10:O27" si="3">I10+N10</f>
        <v>63.055555555555557</v>
      </c>
      <c r="P10" s="4"/>
      <c r="Q10" s="4">
        <f t="shared" si="0"/>
        <v>4.9382716049382713E-2</v>
      </c>
      <c r="R10" s="4"/>
    </row>
    <row r="11" spans="1:18" x14ac:dyDescent="0.25">
      <c r="A11" s="1">
        <v>0.15</v>
      </c>
      <c r="B11" s="1"/>
      <c r="C11" s="3">
        <f>A11*$B$3/3</f>
        <v>100</v>
      </c>
      <c r="D11" s="6" t="s">
        <v>11</v>
      </c>
      <c r="E11" s="6" t="s">
        <v>11</v>
      </c>
      <c r="F11" s="4">
        <f t="shared" si="1"/>
        <v>172.5</v>
      </c>
      <c r="G11">
        <f>(C11^2/2)*((20*A11*$B$5)+(10*$B$5))</f>
        <v>97.5</v>
      </c>
      <c r="H11" s="4">
        <f>C11^3*(10/3)*$B$5^2</f>
        <v>7.5000000000000009</v>
      </c>
      <c r="I11" s="4">
        <f t="shared" si="2"/>
        <v>82.5</v>
      </c>
      <c r="J11" s="4"/>
      <c r="K11" s="4"/>
      <c r="L11" s="4"/>
      <c r="M11" s="12" t="s">
        <v>11</v>
      </c>
      <c r="N11" s="13">
        <f>((10*A11^2)+(10*A11))*$B$4</f>
        <v>43.125</v>
      </c>
      <c r="O11" s="4">
        <f t="shared" si="3"/>
        <v>125.625</v>
      </c>
      <c r="P11" s="4"/>
      <c r="Q11" s="4">
        <f t="shared" si="0"/>
        <v>0.11458333333333333</v>
      </c>
      <c r="R11" s="4"/>
    </row>
    <row r="12" spans="1:18" x14ac:dyDescent="0.25">
      <c r="A12" s="2">
        <v>0.2</v>
      </c>
      <c r="B12" s="2"/>
      <c r="C12" s="3">
        <f>A12*$B$3/3</f>
        <v>133.33333333333334</v>
      </c>
      <c r="D12" s="6" t="s">
        <v>11</v>
      </c>
      <c r="E12" s="6" t="s">
        <v>11</v>
      </c>
      <c r="F12" s="4">
        <f t="shared" si="1"/>
        <v>320</v>
      </c>
      <c r="G12">
        <f>(C12^2/2)*((20*A12*$B$5)+(10*$B$5))</f>
        <v>186.66666666666669</v>
      </c>
      <c r="H12" s="4">
        <f>C12^3*(10/3)*$B$5^2</f>
        <v>17.777777777777782</v>
      </c>
      <c r="I12" s="4">
        <f>H12-G12+F12</f>
        <v>151.11111111111109</v>
      </c>
      <c r="J12" s="4"/>
      <c r="K12" s="4"/>
      <c r="L12" s="4"/>
      <c r="M12" s="12" t="s">
        <v>11</v>
      </c>
      <c r="N12" s="13">
        <f>((10*A12^2)+(10*A12))*$B$4</f>
        <v>60</v>
      </c>
      <c r="O12" s="4">
        <f t="shared" si="3"/>
        <v>211.11111111111109</v>
      </c>
      <c r="P12" s="4"/>
      <c r="Q12" s="4">
        <f t="shared" si="0"/>
        <v>0.2098765432098765</v>
      </c>
      <c r="R12" s="4"/>
    </row>
    <row r="13" spans="1:18" x14ac:dyDescent="0.25">
      <c r="A13" s="1">
        <v>0.25</v>
      </c>
      <c r="B13" s="1"/>
      <c r="C13" s="3">
        <f>A13*$B$3/3</f>
        <v>166.66666666666666</v>
      </c>
      <c r="D13" s="6" t="s">
        <v>11</v>
      </c>
      <c r="E13" s="6" t="s">
        <v>11</v>
      </c>
      <c r="F13" s="4">
        <f t="shared" si="1"/>
        <v>520.83333333333326</v>
      </c>
      <c r="G13">
        <f>(C13^2/2)*((20*A13*$B$5)+(10*$B$5))</f>
        <v>312.49999999999994</v>
      </c>
      <c r="H13" s="4">
        <f>C13^3*(10/3)*$B$5^2</f>
        <v>34.722222222222221</v>
      </c>
      <c r="I13" s="4">
        <f t="shared" si="2"/>
        <v>243.05555555555554</v>
      </c>
      <c r="J13" s="4"/>
      <c r="K13" s="4"/>
      <c r="L13" s="4"/>
      <c r="M13" s="12" t="s">
        <v>11</v>
      </c>
      <c r="N13" s="13">
        <f>((10*A13^2)+(10*A13))*$B$4</f>
        <v>78.125</v>
      </c>
      <c r="O13" s="4">
        <f t="shared" si="3"/>
        <v>321.18055555555554</v>
      </c>
      <c r="P13" s="4"/>
      <c r="Q13" s="4">
        <f t="shared" si="0"/>
        <v>0.33757716049382708</v>
      </c>
      <c r="R13" s="4"/>
    </row>
    <row r="14" spans="1:18" x14ac:dyDescent="0.25">
      <c r="A14" s="2">
        <v>0.3</v>
      </c>
      <c r="B14" s="2"/>
      <c r="C14" s="3">
        <f>A14*$B$3/3</f>
        <v>200</v>
      </c>
      <c r="D14" s="6" t="s">
        <v>11</v>
      </c>
      <c r="E14" s="6" t="s">
        <v>11</v>
      </c>
      <c r="F14" s="4">
        <f t="shared" si="1"/>
        <v>780</v>
      </c>
      <c r="G14">
        <f>(C14^2/2)*((20*A14*$B$5)+(10*$B$5))</f>
        <v>480</v>
      </c>
      <c r="H14" s="4">
        <f>C14^3*(10/3)*$B$5^2</f>
        <v>60.000000000000007</v>
      </c>
      <c r="I14" s="4">
        <f>H14-G14+F14</f>
        <v>360</v>
      </c>
      <c r="J14" s="4"/>
      <c r="K14" s="4"/>
      <c r="L14" s="4"/>
      <c r="M14" s="12" t="s">
        <v>11</v>
      </c>
      <c r="N14" s="13">
        <f>((10*A14^2)+(10*A14))*$B$4</f>
        <v>97.5</v>
      </c>
      <c r="O14" s="4">
        <f t="shared" si="3"/>
        <v>457.5</v>
      </c>
      <c r="P14" s="4"/>
      <c r="Q14" s="4">
        <f t="shared" si="0"/>
        <v>0.5</v>
      </c>
      <c r="R14" s="4"/>
    </row>
    <row r="15" spans="1:18" x14ac:dyDescent="0.25">
      <c r="A15" s="1">
        <v>0.35</v>
      </c>
      <c r="B15" s="1"/>
      <c r="C15" s="3">
        <f>A15*$B$3/3</f>
        <v>233.33333333333334</v>
      </c>
      <c r="D15" s="6" t="s">
        <v>11</v>
      </c>
      <c r="E15" s="6" t="s">
        <v>11</v>
      </c>
      <c r="F15" s="4">
        <f t="shared" si="1"/>
        <v>1102.5</v>
      </c>
      <c r="G15">
        <f>(C15^2/2)*((20*A15*$B$5)+(10*$B$5))</f>
        <v>694.16666666666674</v>
      </c>
      <c r="H15" s="4">
        <f>C15^3*(10/3)*$B$5^2</f>
        <v>95.2777777777778</v>
      </c>
      <c r="I15" s="4">
        <f t="shared" si="2"/>
        <v>503.61111111111109</v>
      </c>
      <c r="J15" s="4"/>
      <c r="K15" s="4"/>
      <c r="L15" s="4"/>
      <c r="M15" s="12" t="s">
        <v>11</v>
      </c>
      <c r="N15" s="13">
        <f>((10*A15^2)+(10*A15))*$B$4</f>
        <v>118.12499999999999</v>
      </c>
      <c r="O15" s="4">
        <f t="shared" si="3"/>
        <v>621.73611111111109</v>
      </c>
      <c r="P15" s="4"/>
      <c r="Q15" s="4">
        <f t="shared" si="0"/>
        <v>0.69945987654320985</v>
      </c>
      <c r="R15" s="4"/>
    </row>
    <row r="16" spans="1:18" x14ac:dyDescent="0.25">
      <c r="A16" s="2">
        <v>0.4</v>
      </c>
      <c r="B16" s="2"/>
      <c r="C16" s="3">
        <f>A16*$B$3/3</f>
        <v>266.66666666666669</v>
      </c>
      <c r="D16" s="6" t="s">
        <v>11</v>
      </c>
      <c r="E16" s="6" t="s">
        <v>11</v>
      </c>
      <c r="F16" s="4">
        <f t="shared" si="1"/>
        <v>1493.3333333333335</v>
      </c>
      <c r="G16">
        <f>(C16^2/2)*((20*A16*$B$5)+(10*$B$5))</f>
        <v>960.00000000000011</v>
      </c>
      <c r="H16" s="4">
        <f>C16^3*(10/3)*$B$5^2</f>
        <v>142.22222222222226</v>
      </c>
      <c r="I16" s="4">
        <f t="shared" si="2"/>
        <v>675.55555555555566</v>
      </c>
      <c r="J16" s="4"/>
      <c r="K16" s="4"/>
      <c r="L16" s="4"/>
      <c r="M16" s="12" t="s">
        <v>11</v>
      </c>
      <c r="N16" s="13">
        <f>((10*A16^2)+(10*A16))*$B$4</f>
        <v>140</v>
      </c>
      <c r="O16" s="4">
        <f t="shared" si="3"/>
        <v>815.55555555555566</v>
      </c>
      <c r="P16" s="4"/>
      <c r="Q16" s="4">
        <f t="shared" si="0"/>
        <v>0.93827160493827177</v>
      </c>
      <c r="R16" s="4"/>
    </row>
    <row r="17" spans="1:19" x14ac:dyDescent="0.25">
      <c r="A17" s="1">
        <v>0.45</v>
      </c>
      <c r="B17" s="1"/>
      <c r="C17" s="3">
        <f>A17*$B$3/3</f>
        <v>300</v>
      </c>
      <c r="D17" s="6" t="s">
        <v>11</v>
      </c>
      <c r="E17" s="6" t="s">
        <v>11</v>
      </c>
      <c r="F17" s="4">
        <f t="shared" si="1"/>
        <v>1957.5</v>
      </c>
      <c r="G17">
        <f>(C17^2/2)*((20*A17*$B$5)+(10*$B$5))</f>
        <v>1282.5</v>
      </c>
      <c r="H17" s="4">
        <f>C17^3*(10/3)*$B$5^2</f>
        <v>202.5</v>
      </c>
      <c r="I17" s="4">
        <f t="shared" si="2"/>
        <v>877.5</v>
      </c>
      <c r="J17" s="4"/>
      <c r="K17" s="4"/>
      <c r="L17" s="4"/>
      <c r="M17" s="12" t="s">
        <v>11</v>
      </c>
      <c r="N17" s="13">
        <f>((10*A17^2)+(10*A17))*$B$4</f>
        <v>163.125</v>
      </c>
      <c r="O17" s="4">
        <f t="shared" si="3"/>
        <v>1040.625</v>
      </c>
      <c r="P17" s="4"/>
      <c r="Q17" s="4">
        <f t="shared" si="0"/>
        <v>1.21875</v>
      </c>
      <c r="R17" s="4"/>
    </row>
    <row r="18" spans="1:19" x14ac:dyDescent="0.25">
      <c r="A18" s="2">
        <v>0.5</v>
      </c>
      <c r="B18" s="2"/>
      <c r="C18" s="3">
        <f>A18*$B$3/3</f>
        <v>333.33333333333331</v>
      </c>
      <c r="D18" s="6" t="s">
        <v>11</v>
      </c>
      <c r="E18" s="6" t="s">
        <v>11</v>
      </c>
      <c r="F18" s="4">
        <f t="shared" si="1"/>
        <v>2500</v>
      </c>
      <c r="G18">
        <f>(C18^2/2)*((20*A18*$B$5)+(10*$B$5))</f>
        <v>1666.6666666666663</v>
      </c>
      <c r="H18" s="4">
        <f>C18^3*(10/3)*$B$5^2</f>
        <v>277.77777777777777</v>
      </c>
      <c r="I18" s="4">
        <f t="shared" si="2"/>
        <v>1111.1111111111115</v>
      </c>
      <c r="J18" s="4"/>
      <c r="K18" s="4"/>
      <c r="L18" s="4"/>
      <c r="M18" s="12" t="s">
        <v>11</v>
      </c>
      <c r="N18" s="13">
        <f>((10*A18^2)+(10*A18))*$B$4</f>
        <v>187.5</v>
      </c>
      <c r="O18" s="4">
        <f t="shared" si="3"/>
        <v>1298.6111111111115</v>
      </c>
      <c r="P18" s="4"/>
      <c r="Q18" s="4">
        <f t="shared" si="0"/>
        <v>1.5432098765432103</v>
      </c>
      <c r="R18" s="4"/>
    </row>
    <row r="19" spans="1:19" x14ac:dyDescent="0.25">
      <c r="A19" s="1">
        <v>0.55000000000000004</v>
      </c>
      <c r="B19" s="1"/>
      <c r="C19" s="3">
        <f>A19*$B$3/3</f>
        <v>366.66666666666669</v>
      </c>
      <c r="D19" s="6" t="s">
        <v>11</v>
      </c>
      <c r="E19" s="6" t="s">
        <v>11</v>
      </c>
      <c r="F19" s="4">
        <f t="shared" si="1"/>
        <v>3125.8333333333335</v>
      </c>
      <c r="G19">
        <f>(C19^2/2)*((20*A19*$B$5)+(10*$B$5))</f>
        <v>2117.5000000000005</v>
      </c>
      <c r="H19" s="4">
        <f>C19^3*(10/3)*$B$5^2</f>
        <v>369.72222222222229</v>
      </c>
      <c r="I19" s="4">
        <f t="shared" si="2"/>
        <v>1378.0555555555552</v>
      </c>
      <c r="J19" s="4"/>
      <c r="K19" s="4"/>
      <c r="L19" s="4"/>
      <c r="M19" s="12" t="s">
        <v>11</v>
      </c>
      <c r="N19" s="13">
        <f>((10*A19^2)+(10*A19))*$B$4</f>
        <v>213.125</v>
      </c>
      <c r="O19" s="4">
        <f t="shared" si="3"/>
        <v>1591.1805555555552</v>
      </c>
      <c r="P19" s="4"/>
      <c r="Q19" s="4">
        <f t="shared" si="0"/>
        <v>1.9139660493827153</v>
      </c>
      <c r="R19" s="4"/>
    </row>
    <row r="20" spans="1:19" x14ac:dyDescent="0.25">
      <c r="A20" s="2">
        <v>0.6</v>
      </c>
      <c r="B20" s="2"/>
      <c r="C20" s="3">
        <f>A20*$B$3/3</f>
        <v>400</v>
      </c>
      <c r="D20" s="6" t="s">
        <v>11</v>
      </c>
      <c r="E20" s="6" t="s">
        <v>11</v>
      </c>
      <c r="F20" s="4">
        <f t="shared" si="1"/>
        <v>3840</v>
      </c>
      <c r="G20">
        <f>(C20^2/2)*((20*A20*$B$5)+(10*$B$5))</f>
        <v>2640</v>
      </c>
      <c r="H20" s="4">
        <f>C20^3*(10/3)*$B$5^2</f>
        <v>480.00000000000006</v>
      </c>
      <c r="I20" s="4">
        <f t="shared" si="2"/>
        <v>1680</v>
      </c>
      <c r="J20" s="4"/>
      <c r="K20" s="4"/>
      <c r="L20" s="4"/>
      <c r="M20" s="12" t="s">
        <v>11</v>
      </c>
      <c r="N20" s="13">
        <f>((10*A20^2)+(10*A20))*$B$4</f>
        <v>240</v>
      </c>
      <c r="O20" s="4">
        <f t="shared" si="3"/>
        <v>1920</v>
      </c>
      <c r="P20" s="4"/>
      <c r="Q20" s="4">
        <f t="shared" si="0"/>
        <v>2.3333333333333335</v>
      </c>
      <c r="R20" s="4"/>
    </row>
    <row r="21" spans="1:19" x14ac:dyDescent="0.25">
      <c r="A21" s="1">
        <v>0.65</v>
      </c>
      <c r="B21" s="1"/>
      <c r="C21" s="3">
        <f>A21*$B$3/3</f>
        <v>433.33333333333331</v>
      </c>
      <c r="D21" s="6" t="s">
        <v>11</v>
      </c>
      <c r="E21" s="6" t="s">
        <v>11</v>
      </c>
      <c r="F21" s="4">
        <f t="shared" si="1"/>
        <v>4647.5</v>
      </c>
      <c r="G21">
        <f>(C21^2/2)*((20*A21*$B$5)+(10*$B$5))</f>
        <v>3239.1666666666665</v>
      </c>
      <c r="H21" s="4">
        <f>C21^3*(10/3)*$B$5^2</f>
        <v>610.27777777777783</v>
      </c>
      <c r="I21" s="4">
        <f t="shared" si="2"/>
        <v>2018.6111111111113</v>
      </c>
      <c r="J21" s="4"/>
      <c r="K21" s="4"/>
      <c r="L21" s="4"/>
      <c r="M21" s="12" t="s">
        <v>11</v>
      </c>
      <c r="N21" s="13">
        <f>((10*A21^2)+(10*A21))*$B$4</f>
        <v>268.12500000000006</v>
      </c>
      <c r="O21" s="4">
        <f t="shared" si="3"/>
        <v>2286.7361111111113</v>
      </c>
      <c r="P21" s="4"/>
      <c r="Q21" s="4">
        <f t="shared" si="0"/>
        <v>2.803626543209877</v>
      </c>
      <c r="R21" s="4"/>
    </row>
    <row r="22" spans="1:19" x14ac:dyDescent="0.25">
      <c r="A22" s="2">
        <v>0.7</v>
      </c>
      <c r="B22" s="2"/>
      <c r="C22" s="3">
        <f>A22*$B$3/3</f>
        <v>466.66666666666669</v>
      </c>
      <c r="D22" s="6" t="s">
        <v>11</v>
      </c>
      <c r="E22" s="6" t="s">
        <v>11</v>
      </c>
      <c r="F22" s="4">
        <f t="shared" si="1"/>
        <v>5553.333333333333</v>
      </c>
      <c r="G22">
        <f>(C22^2/2)*((20*A22*$B$5)+(10*$B$5))</f>
        <v>3920.0000000000005</v>
      </c>
      <c r="H22" s="4">
        <f>C22^3*(10/3)*$B$5^2</f>
        <v>762.2222222222224</v>
      </c>
      <c r="I22" s="4">
        <f t="shared" si="2"/>
        <v>2395.5555555555547</v>
      </c>
      <c r="J22" s="4"/>
      <c r="K22" s="4"/>
      <c r="L22" s="4"/>
      <c r="M22" s="12" t="s">
        <v>11</v>
      </c>
      <c r="N22" s="13">
        <f>((10*A22^2)+(10*A22))*$B$4</f>
        <v>297.49999999999994</v>
      </c>
      <c r="O22" s="4">
        <f t="shared" si="3"/>
        <v>2693.0555555555547</v>
      </c>
      <c r="P22" s="4"/>
      <c r="Q22" s="4">
        <f t="shared" si="0"/>
        <v>3.3271604938271593</v>
      </c>
      <c r="R22" s="4"/>
      <c r="S22" s="5"/>
    </row>
    <row r="23" spans="1:19" x14ac:dyDescent="0.25">
      <c r="A23" s="1">
        <v>0.75</v>
      </c>
      <c r="B23" s="1"/>
      <c r="C23" s="3">
        <f>A23*$B$3/3</f>
        <v>500</v>
      </c>
      <c r="D23" s="6" t="s">
        <v>11</v>
      </c>
      <c r="E23" s="6" t="s">
        <v>11</v>
      </c>
      <c r="F23" s="4">
        <f t="shared" si="1"/>
        <v>6562.5</v>
      </c>
      <c r="G23">
        <f>(C23^2/2)*((20*A23*$B$5)+(10*$B$5))</f>
        <v>4687.5</v>
      </c>
      <c r="H23" s="4">
        <f>C23^3*(10/3)*$B$5^2</f>
        <v>937.50000000000011</v>
      </c>
      <c r="I23" s="4">
        <f t="shared" si="2"/>
        <v>2812.5</v>
      </c>
      <c r="J23" s="4"/>
      <c r="K23" s="4"/>
      <c r="L23" s="4"/>
      <c r="M23" s="12" t="s">
        <v>11</v>
      </c>
      <c r="N23" s="13">
        <f>((10*A23^2)+(10*A23))*$B$4</f>
        <v>328.125</v>
      </c>
      <c r="O23" s="4">
        <f t="shared" si="3"/>
        <v>3140.625</v>
      </c>
      <c r="P23" s="4"/>
      <c r="Q23" s="4">
        <f t="shared" si="0"/>
        <v>3.90625</v>
      </c>
      <c r="R23" s="4"/>
    </row>
    <row r="24" spans="1:19" x14ac:dyDescent="0.25">
      <c r="A24" s="2">
        <v>0.8</v>
      </c>
      <c r="B24" s="2"/>
      <c r="C24" s="3">
        <f>A24*$B$3/3</f>
        <v>533.33333333333337</v>
      </c>
      <c r="D24" s="6" t="s">
        <v>11</v>
      </c>
      <c r="E24" s="6" t="s">
        <v>11</v>
      </c>
      <c r="F24" s="4">
        <f t="shared" si="1"/>
        <v>7680.0000000000018</v>
      </c>
      <c r="G24">
        <f>(C24^2/2)*((20*A24*$B$5)+(10*$B$5))</f>
        <v>5546.6666666666679</v>
      </c>
      <c r="H24" s="4">
        <f>C24^3*(10/3)*$B$5^2</f>
        <v>1137.7777777777781</v>
      </c>
      <c r="I24" s="4">
        <f t="shared" si="2"/>
        <v>3271.1111111111122</v>
      </c>
      <c r="J24" s="4"/>
      <c r="K24" s="4"/>
      <c r="L24" s="4"/>
      <c r="M24" s="12" t="s">
        <v>11</v>
      </c>
      <c r="N24" s="13">
        <f>((10*A24^2)+(10*A24))*$B$4</f>
        <v>360.00000000000006</v>
      </c>
      <c r="O24" s="4">
        <f t="shared" si="3"/>
        <v>3631.1111111111122</v>
      </c>
      <c r="P24" s="4"/>
      <c r="Q24" s="4">
        <f t="shared" si="0"/>
        <v>4.5432098765432114</v>
      </c>
      <c r="R24" s="4"/>
    </row>
    <row r="25" spans="1:19" x14ac:dyDescent="0.25">
      <c r="A25" s="1">
        <v>0.85</v>
      </c>
      <c r="B25" s="1"/>
      <c r="C25" s="3">
        <f>A25*$B$3/3</f>
        <v>566.66666666666663</v>
      </c>
      <c r="D25" s="6" t="s">
        <v>11</v>
      </c>
      <c r="E25" s="6" t="s">
        <v>11</v>
      </c>
      <c r="F25" s="4">
        <f t="shared" si="1"/>
        <v>8910.8333333333321</v>
      </c>
      <c r="G25">
        <f>(C25^2/2)*((20*A25*$B$5)+(10*$B$5))</f>
        <v>6502.4999999999991</v>
      </c>
      <c r="H25" s="4">
        <f>C25^3*(10/3)*$B$5^2</f>
        <v>1364.7222222222222</v>
      </c>
      <c r="I25" s="4">
        <f t="shared" si="2"/>
        <v>3773.0555555555547</v>
      </c>
      <c r="J25" s="4"/>
      <c r="K25" s="4"/>
      <c r="L25" s="4"/>
      <c r="M25" s="12" t="s">
        <v>11</v>
      </c>
      <c r="N25" s="13">
        <f>((10*A25^2)+(10*A25))*$B$4</f>
        <v>393.125</v>
      </c>
      <c r="O25" s="4">
        <f t="shared" si="3"/>
        <v>4166.1805555555547</v>
      </c>
      <c r="P25" s="4"/>
      <c r="Q25" s="4">
        <f t="shared" si="0"/>
        <v>5.2403549382716044</v>
      </c>
      <c r="R25" s="4"/>
    </row>
    <row r="26" spans="1:19" x14ac:dyDescent="0.25">
      <c r="A26" s="2">
        <v>0.9</v>
      </c>
      <c r="B26" s="2"/>
      <c r="C26" s="3">
        <f>A26*$B$3/3</f>
        <v>600</v>
      </c>
      <c r="D26" s="6" t="s">
        <v>11</v>
      </c>
      <c r="E26" s="6" t="s">
        <v>11</v>
      </c>
      <c r="F26" s="4">
        <f t="shared" si="1"/>
        <v>10260</v>
      </c>
      <c r="G26">
        <f>(C26^2/2)*((20*A26*$B$5)+(10*$B$5))</f>
        <v>7559.9999999999991</v>
      </c>
      <c r="H26" s="4">
        <f>C26^3*(10/3)*$B$5^2</f>
        <v>1620</v>
      </c>
      <c r="I26" s="4">
        <f t="shared" si="2"/>
        <v>4320.0000000000009</v>
      </c>
      <c r="J26" s="4"/>
      <c r="K26" s="4"/>
      <c r="L26" s="4"/>
      <c r="M26" s="12" t="s">
        <v>11</v>
      </c>
      <c r="N26" s="13">
        <f>((10*A26^2)+(10*A26))*$B$4</f>
        <v>427.50000000000006</v>
      </c>
      <c r="O26" s="4">
        <f t="shared" si="3"/>
        <v>4747.5000000000009</v>
      </c>
      <c r="P26" s="4"/>
      <c r="Q26" s="4">
        <f t="shared" si="0"/>
        <v>6.0000000000000009</v>
      </c>
      <c r="R26" s="4"/>
    </row>
    <row r="27" spans="1:19" x14ac:dyDescent="0.25">
      <c r="A27" s="1">
        <v>0.95</v>
      </c>
      <c r="B27" s="1"/>
      <c r="C27" s="3">
        <f>A27*$B$3/3</f>
        <v>633.33333333333337</v>
      </c>
      <c r="D27" s="6" t="s">
        <v>11</v>
      </c>
      <c r="E27" s="6" t="s">
        <v>11</v>
      </c>
      <c r="F27" s="4">
        <f t="shared" si="1"/>
        <v>11732.5</v>
      </c>
      <c r="G27">
        <f>(C27^2/2)*((20*A27*$B$5)+(10*$B$5))</f>
        <v>8724.1666666666679</v>
      </c>
      <c r="H27" s="4">
        <f>C27^3*(10/3)*$B$5^2</f>
        <v>1905.2777777777783</v>
      </c>
      <c r="I27" s="4">
        <f t="shared" si="2"/>
        <v>4913.6111111111104</v>
      </c>
      <c r="J27" s="4"/>
      <c r="K27" s="4"/>
      <c r="L27" s="4"/>
      <c r="M27" s="12" t="s">
        <v>11</v>
      </c>
      <c r="N27" s="13">
        <f>((10*A27^2)+(10*A27))*$B$4</f>
        <v>463.12499999999994</v>
      </c>
      <c r="O27" s="4">
        <f t="shared" si="3"/>
        <v>5376.7361111111104</v>
      </c>
      <c r="P27" s="4"/>
      <c r="Q27" s="4">
        <f t="shared" si="0"/>
        <v>6.8244598765432078</v>
      </c>
      <c r="R27" s="4"/>
    </row>
    <row r="28" spans="1:19" x14ac:dyDescent="0.25">
      <c r="A28" s="2">
        <v>1</v>
      </c>
      <c r="B28" s="2"/>
      <c r="C28" s="3">
        <f>A28*$B$3/3</f>
        <v>666.66666666666663</v>
      </c>
      <c r="D28" s="6" t="s">
        <v>11</v>
      </c>
      <c r="E28" s="6" t="s">
        <v>11</v>
      </c>
      <c r="F28" s="4">
        <f t="shared" si="1"/>
        <v>13333.333333333332</v>
      </c>
      <c r="G28">
        <f>(C28^2/2)*((20*A28*$B$5)+(10*$B$5))</f>
        <v>9999.9999999999982</v>
      </c>
      <c r="H28" s="4">
        <f>C28^3*(10/3)*$B$5^2</f>
        <v>2222.2222222222222</v>
      </c>
      <c r="I28" s="4">
        <f t="shared" si="2"/>
        <v>5555.5555555555566</v>
      </c>
      <c r="J28" s="4"/>
      <c r="K28" s="4"/>
      <c r="L28" s="4"/>
      <c r="M28" s="12" t="s">
        <v>11</v>
      </c>
      <c r="N28" s="13">
        <f>((10*A28^2)+(10*A28))*$B$4</f>
        <v>500</v>
      </c>
      <c r="O28" s="4">
        <f>I28+N28</f>
        <v>6055.5555555555566</v>
      </c>
      <c r="P28" s="4"/>
      <c r="Q28" s="4">
        <f t="shared" si="0"/>
        <v>7.7160493827160499</v>
      </c>
      <c r="R28" s="4"/>
    </row>
    <row r="29" spans="1:19" x14ac:dyDescent="0.25">
      <c r="A29" s="1">
        <v>1.05</v>
      </c>
      <c r="B29" s="1">
        <f>A29-1</f>
        <v>5.0000000000000044E-2</v>
      </c>
      <c r="C29" s="3">
        <f>A29*$B$3/3</f>
        <v>700</v>
      </c>
      <c r="D29" s="3">
        <f>(A29-1)*$B$3/3</f>
        <v>33.333333333333364</v>
      </c>
      <c r="E29" s="3">
        <f>(10*1^2+10*1)*D29</f>
        <v>666.66666666666731</v>
      </c>
      <c r="F29" s="4"/>
      <c r="H29" s="4"/>
      <c r="I29" s="4">
        <f t="shared" ref="I29:I58" si="4">$I$28</f>
        <v>5555.5555555555566</v>
      </c>
      <c r="J29" s="4">
        <f>D29*(((10/3)*B29^2)+(40*B29))</f>
        <v>66.944444444444571</v>
      </c>
      <c r="K29" s="4">
        <f>(D29^2/2)*(((20/3)*B29*$B$5)+(40*$B$5))</f>
        <v>33.611111111111171</v>
      </c>
      <c r="L29" s="4">
        <f>D29^3*(10/9)*$B$5^2</f>
        <v>9.2592592592592851E-2</v>
      </c>
      <c r="M29" s="4">
        <f>J29-K29+L29</f>
        <v>33.425925925925995</v>
      </c>
      <c r="N29" s="3">
        <f>((10/3)*(A29-1)^2+40*(A29-1))*$B$4+$N$28</f>
        <v>550.20833333333337</v>
      </c>
      <c r="O29" s="4">
        <f>I29+E29+M29+N29</f>
        <v>6805.8564814814827</v>
      </c>
      <c r="P29" s="4"/>
      <c r="Q29" s="4">
        <f>(O29/0.2)/60/60</f>
        <v>9.4525784465020575</v>
      </c>
      <c r="R29" s="4"/>
    </row>
    <row r="30" spans="1:19" x14ac:dyDescent="0.25">
      <c r="A30" s="2">
        <v>1.1000000000000001</v>
      </c>
      <c r="B30" s="1">
        <f t="shared" ref="B30:B58" si="5">A30-1</f>
        <v>0.10000000000000009</v>
      </c>
      <c r="C30" s="3">
        <f>A30*$B$3/3</f>
        <v>733.33333333333337</v>
      </c>
      <c r="D30" s="3">
        <f>(A30-1)*$B$3/3</f>
        <v>66.666666666666728</v>
      </c>
      <c r="E30" s="3">
        <f t="shared" ref="E30:E58" si="6">(10*1^2+10*1)*D30</f>
        <v>1333.3333333333346</v>
      </c>
      <c r="F30" s="4"/>
      <c r="H30" s="4"/>
      <c r="I30" s="4">
        <f t="shared" si="4"/>
        <v>5555.5555555555566</v>
      </c>
      <c r="J30" s="4">
        <f t="shared" ref="J30:J58" si="7">D30*(((10/3)*B30^2)+(40*B30))</f>
        <v>268.88888888888937</v>
      </c>
      <c r="K30" s="4">
        <f>(D30^2/2)*(((20/3)*B30*$B$5)+(40*$B$5))</f>
        <v>135.5555555555558</v>
      </c>
      <c r="L30" s="4">
        <f>D30^3*(10/9)*$B$5^2</f>
        <v>0.74074074074074281</v>
      </c>
      <c r="M30" s="4">
        <f t="shared" ref="M30:M45" si="8">J30-K30+L30</f>
        <v>134.0740740740743</v>
      </c>
      <c r="N30" s="3">
        <f>((10/3)*(A30-1)^2+40*(A30-1))*$B$4+$N$28</f>
        <v>600.83333333333337</v>
      </c>
      <c r="O30" s="4">
        <f t="shared" ref="O30:O58" si="9">I30+E30+M30+N30</f>
        <v>7623.7962962962984</v>
      </c>
      <c r="P30" s="4"/>
      <c r="Q30" s="4">
        <f t="shared" ref="Q30:Q58" si="10">(O30/0.2)/60/60</f>
        <v>10.588605967078191</v>
      </c>
      <c r="R30" s="4"/>
    </row>
    <row r="31" spans="1:19" x14ac:dyDescent="0.25">
      <c r="A31" s="1">
        <v>1.1499999999999999</v>
      </c>
      <c r="B31" s="1">
        <f t="shared" si="5"/>
        <v>0.14999999999999991</v>
      </c>
      <c r="C31" s="3">
        <f>A31*$B$3/3</f>
        <v>766.66666666666663</v>
      </c>
      <c r="D31" s="3">
        <f>(A31-1)*$B$3/3</f>
        <v>99.999999999999943</v>
      </c>
      <c r="E31" s="3">
        <f t="shared" si="6"/>
        <v>1999.9999999999989</v>
      </c>
      <c r="F31" s="4"/>
      <c r="H31" s="4"/>
      <c r="I31" s="4">
        <f t="shared" si="4"/>
        <v>5555.5555555555566</v>
      </c>
      <c r="J31" s="4">
        <f t="shared" si="7"/>
        <v>607.49999999999932</v>
      </c>
      <c r="K31" s="4">
        <f>(D31^2/2)*(((20/3)*B31*$B$5)+(40*$B$5))</f>
        <v>307.49999999999966</v>
      </c>
      <c r="L31" s="4">
        <f>D31^3*(10/9)*$B$5^2</f>
        <v>2.499999999999996</v>
      </c>
      <c r="M31" s="4">
        <f t="shared" si="8"/>
        <v>302.49999999999966</v>
      </c>
      <c r="N31" s="3">
        <f>((10/3)*(A31-1)^2+40*(A31-1))*$B$4+$N$28</f>
        <v>651.87499999999989</v>
      </c>
      <c r="O31" s="4">
        <f t="shared" si="9"/>
        <v>8509.9305555555547</v>
      </c>
      <c r="P31" s="4"/>
      <c r="Q31" s="4">
        <f t="shared" si="10"/>
        <v>11.81934799382716</v>
      </c>
      <c r="R31" s="4"/>
    </row>
    <row r="32" spans="1:19" x14ac:dyDescent="0.25">
      <c r="A32" s="2">
        <v>1.2</v>
      </c>
      <c r="B32" s="1">
        <f t="shared" si="5"/>
        <v>0.19999999999999996</v>
      </c>
      <c r="C32" s="3">
        <f>A32*$B$3/3</f>
        <v>800</v>
      </c>
      <c r="D32" s="3">
        <f>(A32-1)*$B$3/3</f>
        <v>133.33333333333329</v>
      </c>
      <c r="E32" s="3">
        <f t="shared" si="6"/>
        <v>2666.6666666666656</v>
      </c>
      <c r="F32" s="4"/>
      <c r="H32" s="4"/>
      <c r="I32" s="4">
        <f t="shared" si="4"/>
        <v>5555.5555555555566</v>
      </c>
      <c r="J32" s="4">
        <f t="shared" si="7"/>
        <v>1084.4444444444437</v>
      </c>
      <c r="K32" s="4">
        <f>(D32^2/2)*(((20/3)*B32*$B$5)+(40*$B$5))</f>
        <v>551.11111111111074</v>
      </c>
      <c r="L32" s="4">
        <f>D32^3*(10/9)*$B$5^2</f>
        <v>5.9259259259259203</v>
      </c>
      <c r="M32" s="4">
        <f t="shared" si="8"/>
        <v>539.25925925925878</v>
      </c>
      <c r="N32" s="3">
        <f>((10/3)*(A32-1)^2+40*(A32-1))*$B$4+$N$28</f>
        <v>703.33333333333326</v>
      </c>
      <c r="O32" s="4">
        <f t="shared" si="9"/>
        <v>9464.8148148148157</v>
      </c>
      <c r="P32" s="4"/>
      <c r="Q32" s="4">
        <f t="shared" si="10"/>
        <v>13.145576131687243</v>
      </c>
      <c r="R32" s="4"/>
    </row>
    <row r="33" spans="1:23" x14ac:dyDescent="0.25">
      <c r="A33" s="1">
        <v>1.25</v>
      </c>
      <c r="B33" s="1">
        <f t="shared" si="5"/>
        <v>0.25</v>
      </c>
      <c r="C33" s="3">
        <f>A33*$B$3/3</f>
        <v>833.33333333333337</v>
      </c>
      <c r="D33" s="3">
        <f>(A33-1)*$B$3/3</f>
        <v>166.66666666666666</v>
      </c>
      <c r="E33" s="3">
        <f t="shared" si="6"/>
        <v>3333.333333333333</v>
      </c>
      <c r="F33" s="4"/>
      <c r="H33" s="4"/>
      <c r="I33" s="4">
        <f t="shared" si="4"/>
        <v>5555.5555555555566</v>
      </c>
      <c r="J33" s="4">
        <f t="shared" si="7"/>
        <v>1701.3888888888889</v>
      </c>
      <c r="K33" s="4">
        <f>(D33^2/2)*(((20/3)*B33*$B$5)+(40*$B$5))</f>
        <v>868.05555555555543</v>
      </c>
      <c r="L33" s="4">
        <f>D33^3*(10/9)*$B$5^2</f>
        <v>11.574074074074073</v>
      </c>
      <c r="M33" s="4">
        <f t="shared" si="8"/>
        <v>844.9074074074075</v>
      </c>
      <c r="N33" s="3">
        <f>((10/3)*(A33-1)^2+40*(A33-1))*$B$4+$N$28</f>
        <v>755.20833333333337</v>
      </c>
      <c r="O33" s="4">
        <f t="shared" si="9"/>
        <v>10489.004629629631</v>
      </c>
      <c r="P33" s="4"/>
      <c r="Q33" s="4">
        <f t="shared" si="10"/>
        <v>14.568061985596708</v>
      </c>
      <c r="R33" s="4"/>
    </row>
    <row r="34" spans="1:23" x14ac:dyDescent="0.25">
      <c r="A34" s="2">
        <v>1.3</v>
      </c>
      <c r="B34" s="1">
        <f t="shared" si="5"/>
        <v>0.30000000000000004</v>
      </c>
      <c r="C34" s="3">
        <f>A34*$B$3/3</f>
        <v>866.66666666666663</v>
      </c>
      <c r="D34" s="3">
        <f>(A34-1)*$B$3/3</f>
        <v>200.00000000000003</v>
      </c>
      <c r="E34" s="3">
        <f t="shared" si="6"/>
        <v>4000.0000000000005</v>
      </c>
      <c r="F34" s="4"/>
      <c r="H34" s="4"/>
      <c r="I34" s="4">
        <f t="shared" si="4"/>
        <v>5555.5555555555566</v>
      </c>
      <c r="J34" s="4">
        <f t="shared" si="7"/>
        <v>2460.0000000000009</v>
      </c>
      <c r="K34" s="4">
        <f>(D34^2/2)*(((20/3)*B34*$B$5)+(40*$B$5))</f>
        <v>1260.0000000000005</v>
      </c>
      <c r="L34" s="4">
        <f>D34^3*(10/9)*$B$5^2</f>
        <v>20.000000000000011</v>
      </c>
      <c r="M34" s="4">
        <f t="shared" si="8"/>
        <v>1220.0000000000005</v>
      </c>
      <c r="N34" s="3">
        <f>((10/3)*(A34-1)^2+40*(A34-1))*$B$4+$N$28</f>
        <v>807.5</v>
      </c>
      <c r="O34" s="4">
        <f t="shared" si="9"/>
        <v>11583.055555555557</v>
      </c>
      <c r="P34" s="4"/>
      <c r="Q34" s="4">
        <f t="shared" si="10"/>
        <v>16.087577160493829</v>
      </c>
      <c r="R34" s="4"/>
    </row>
    <row r="35" spans="1:23" x14ac:dyDescent="0.25">
      <c r="A35" s="1">
        <v>1.35</v>
      </c>
      <c r="B35" s="1">
        <f t="shared" si="5"/>
        <v>0.35000000000000009</v>
      </c>
      <c r="C35" s="3">
        <f>A35*$B$3/3</f>
        <v>900</v>
      </c>
      <c r="D35" s="3">
        <f>(A35-1)*$B$3/3</f>
        <v>233.3333333333334</v>
      </c>
      <c r="E35" s="3">
        <f t="shared" si="6"/>
        <v>4666.6666666666679</v>
      </c>
      <c r="F35" s="4"/>
      <c r="H35" s="4"/>
      <c r="I35" s="4">
        <f t="shared" si="4"/>
        <v>5555.5555555555566</v>
      </c>
      <c r="J35" s="4">
        <f t="shared" si="7"/>
        <v>3361.9444444444462</v>
      </c>
      <c r="K35" s="4">
        <f>(D35^2/2)*(((20/3)*B35*$B$5)+(40*$B$5))</f>
        <v>1728.611111111112</v>
      </c>
      <c r="L35" s="4">
        <f>D35^3*(10/9)*$B$5^2</f>
        <v>31.759259259259288</v>
      </c>
      <c r="M35" s="4">
        <f t="shared" si="8"/>
        <v>1665.0925925925935</v>
      </c>
      <c r="N35" s="3">
        <f>((10/3)*(A35-1)^2+40*(A35-1))*$B$4+$N$28</f>
        <v>860.20833333333348</v>
      </c>
      <c r="O35" s="4">
        <f t="shared" si="9"/>
        <v>12747.523148148151</v>
      </c>
      <c r="P35" s="4"/>
      <c r="Q35" s="4">
        <f t="shared" si="10"/>
        <v>17.704893261316876</v>
      </c>
      <c r="R35" s="4"/>
    </row>
    <row r="36" spans="1:23" x14ac:dyDescent="0.25">
      <c r="A36" s="2">
        <v>1.4</v>
      </c>
      <c r="B36" s="1">
        <f t="shared" si="5"/>
        <v>0.39999999999999991</v>
      </c>
      <c r="C36" s="3">
        <f>A36*$B$3/3</f>
        <v>933.33333333333337</v>
      </c>
      <c r="D36" s="3">
        <f>(A36-1)*$B$3/3</f>
        <v>266.66666666666657</v>
      </c>
      <c r="E36" s="3">
        <f t="shared" si="6"/>
        <v>5333.3333333333312</v>
      </c>
      <c r="F36" s="4"/>
      <c r="H36" s="4"/>
      <c r="I36" s="4">
        <f t="shared" si="4"/>
        <v>5555.5555555555566</v>
      </c>
      <c r="J36" s="4">
        <f t="shared" si="7"/>
        <v>4408.888888888886</v>
      </c>
      <c r="K36" s="4">
        <f>(D36^2/2)*(((20/3)*B36*$B$5)+(40*$B$5))</f>
        <v>2275.5555555555543</v>
      </c>
      <c r="L36" s="4">
        <f>D36^3*(10/9)*$B$5^2</f>
        <v>47.407407407407362</v>
      </c>
      <c r="M36" s="4">
        <f t="shared" si="8"/>
        <v>2180.7407407407391</v>
      </c>
      <c r="N36" s="3">
        <f>((10/3)*(A36-1)^2+40*(A36-1))*$B$4+$N$28</f>
        <v>913.33333333333326</v>
      </c>
      <c r="O36" s="4">
        <f t="shared" si="9"/>
        <v>13982.96296296296</v>
      </c>
      <c r="P36" s="4"/>
      <c r="Q36" s="4">
        <f t="shared" si="10"/>
        <v>19.420781893004108</v>
      </c>
      <c r="R36" s="4"/>
      <c r="W36" s="4"/>
    </row>
    <row r="37" spans="1:23" x14ac:dyDescent="0.25">
      <c r="A37" s="1">
        <v>1.45</v>
      </c>
      <c r="B37" s="1">
        <f t="shared" si="5"/>
        <v>0.44999999999999996</v>
      </c>
      <c r="C37" s="3">
        <f>A37*$B$3/3</f>
        <v>966.66666666666663</v>
      </c>
      <c r="D37" s="3">
        <f>(A37-1)*$B$3/3</f>
        <v>299.99999999999994</v>
      </c>
      <c r="E37" s="3">
        <f t="shared" si="6"/>
        <v>5999.9999999999991</v>
      </c>
      <c r="F37" s="4"/>
      <c r="H37" s="4"/>
      <c r="I37" s="4">
        <f t="shared" si="4"/>
        <v>5555.5555555555566</v>
      </c>
      <c r="J37" s="4">
        <f t="shared" si="7"/>
        <v>5602.4999999999991</v>
      </c>
      <c r="K37" s="4">
        <f>(D37^2/2)*(((20/3)*B37*$B$5)+(40*$B$5))</f>
        <v>2902.4999999999991</v>
      </c>
      <c r="L37" s="4">
        <f>D37^3*(10/9)*$B$5^2</f>
        <v>67.499999999999972</v>
      </c>
      <c r="M37" s="4">
        <f t="shared" si="8"/>
        <v>2767.5</v>
      </c>
      <c r="N37" s="3">
        <f>((10/3)*(A37-1)^2+40*(A37-1))*$B$4+$N$28</f>
        <v>966.875</v>
      </c>
      <c r="O37" s="4">
        <f t="shared" si="9"/>
        <v>15289.930555555555</v>
      </c>
      <c r="P37" s="4"/>
      <c r="Q37" s="4">
        <f t="shared" si="10"/>
        <v>21.236014660493822</v>
      </c>
      <c r="R37" s="4"/>
    </row>
    <row r="38" spans="1:23" x14ac:dyDescent="0.25">
      <c r="A38" s="2">
        <v>1.5</v>
      </c>
      <c r="B38" s="1">
        <f t="shared" si="5"/>
        <v>0.5</v>
      </c>
      <c r="C38" s="3">
        <f>A38*$B$3/3</f>
        <v>1000</v>
      </c>
      <c r="D38" s="3">
        <f>(A38-1)*$B$3/3</f>
        <v>333.33333333333331</v>
      </c>
      <c r="E38" s="3">
        <f t="shared" si="6"/>
        <v>6666.6666666666661</v>
      </c>
      <c r="F38" s="4"/>
      <c r="H38" s="4"/>
      <c r="I38" s="4">
        <f t="shared" si="4"/>
        <v>5555.5555555555566</v>
      </c>
      <c r="J38" s="4">
        <f t="shared" si="7"/>
        <v>6944.4444444444434</v>
      </c>
      <c r="K38" s="4">
        <f>(D38^2/2)*(((20/3)*B38*$B$5)+(40*$B$5))</f>
        <v>3611.1111111111109</v>
      </c>
      <c r="L38" s="4">
        <f>D38^3*(10/9)*$B$5^2</f>
        <v>92.592592592592581</v>
      </c>
      <c r="M38" s="4">
        <f t="shared" si="8"/>
        <v>3425.9259259259252</v>
      </c>
      <c r="N38" s="3">
        <f>((10/3)*(A38-1)^2+40*(A38-1))*$B$4+$N$28</f>
        <v>1020.8333333333333</v>
      </c>
      <c r="O38" s="4">
        <f t="shared" si="9"/>
        <v>16668.981481481482</v>
      </c>
      <c r="P38" s="4"/>
      <c r="Q38" s="4">
        <f t="shared" si="10"/>
        <v>23.151363168724277</v>
      </c>
      <c r="R38" s="4"/>
    </row>
    <row r="39" spans="1:23" x14ac:dyDescent="0.25">
      <c r="A39" s="1">
        <v>1.55</v>
      </c>
      <c r="B39" s="1">
        <f t="shared" si="5"/>
        <v>0.55000000000000004</v>
      </c>
      <c r="C39" s="3">
        <f>A39*$B$3/3</f>
        <v>1033.3333333333333</v>
      </c>
      <c r="D39" s="3">
        <f>(A39-1)*$B$3/3</f>
        <v>366.66666666666669</v>
      </c>
      <c r="E39" s="3">
        <f t="shared" si="6"/>
        <v>7333.3333333333339</v>
      </c>
      <c r="F39" s="4"/>
      <c r="H39" s="4"/>
      <c r="I39" s="4">
        <f t="shared" si="4"/>
        <v>5555.5555555555566</v>
      </c>
      <c r="J39" s="4">
        <f t="shared" si="7"/>
        <v>8436.3888888888887</v>
      </c>
      <c r="K39" s="4">
        <f>(D39^2/2)*(((20/3)*B39*$B$5)+(40*$B$5))</f>
        <v>4403.0555555555566</v>
      </c>
      <c r="L39" s="4">
        <f>D39^3*(10/9)*$B$5^2</f>
        <v>123.24074074074078</v>
      </c>
      <c r="M39" s="4">
        <f t="shared" si="8"/>
        <v>4156.574074074073</v>
      </c>
      <c r="N39" s="3">
        <f>((10/3)*(A39-1)^2+40*(A39-1))*$B$4+$N$28</f>
        <v>1075.2083333333335</v>
      </c>
      <c r="O39" s="4">
        <f t="shared" si="9"/>
        <v>18120.671296296296</v>
      </c>
      <c r="P39" s="4"/>
      <c r="Q39" s="4">
        <f t="shared" si="10"/>
        <v>25.167599022633741</v>
      </c>
      <c r="R39" s="4"/>
    </row>
    <row r="40" spans="1:23" x14ac:dyDescent="0.25">
      <c r="A40" s="2">
        <v>1.6</v>
      </c>
      <c r="B40" s="1">
        <f t="shared" si="5"/>
        <v>0.60000000000000009</v>
      </c>
      <c r="C40" s="3">
        <f>A40*$B$3/3</f>
        <v>1066.6666666666667</v>
      </c>
      <c r="D40" s="3">
        <f>(A40-1)*$B$3/3</f>
        <v>400.00000000000006</v>
      </c>
      <c r="E40" s="3">
        <f t="shared" si="6"/>
        <v>8000.0000000000009</v>
      </c>
      <c r="F40" s="4"/>
      <c r="H40" s="4"/>
      <c r="I40" s="4">
        <f t="shared" si="4"/>
        <v>5555.5555555555566</v>
      </c>
      <c r="J40" s="4">
        <f t="shared" si="7"/>
        <v>10080.000000000002</v>
      </c>
      <c r="K40" s="4">
        <f>(D40^2/2)*(((20/3)*B40*$B$5)+(40*$B$5))</f>
        <v>5280.0000000000018</v>
      </c>
      <c r="L40" s="4">
        <f>D40^3*(10/9)*$B$5^2</f>
        <v>160.00000000000009</v>
      </c>
      <c r="M40" s="4">
        <f t="shared" si="8"/>
        <v>4960</v>
      </c>
      <c r="N40" s="3">
        <f>((10/3)*(A40-1)^2+40*(A40-1))*$B$4+$N$28</f>
        <v>1130</v>
      </c>
      <c r="O40" s="4">
        <f t="shared" si="9"/>
        <v>19645.555555555558</v>
      </c>
      <c r="P40" s="4"/>
      <c r="Q40" s="4">
        <f t="shared" si="10"/>
        <v>27.285493827160497</v>
      </c>
      <c r="R40" s="4"/>
    </row>
    <row r="41" spans="1:23" x14ac:dyDescent="0.25">
      <c r="A41" s="1">
        <v>1.65</v>
      </c>
      <c r="B41" s="1">
        <f t="shared" si="5"/>
        <v>0.64999999999999991</v>
      </c>
      <c r="C41" s="3">
        <f>A41*$B$3/3</f>
        <v>1100</v>
      </c>
      <c r="D41" s="3">
        <f>(A41-1)*$B$3/3</f>
        <v>433.33333333333326</v>
      </c>
      <c r="E41" s="3">
        <f t="shared" si="6"/>
        <v>8666.6666666666642</v>
      </c>
      <c r="F41" s="4"/>
      <c r="H41" s="4"/>
      <c r="I41" s="4">
        <f t="shared" si="4"/>
        <v>5555.5555555555566</v>
      </c>
      <c r="J41" s="4">
        <f t="shared" si="7"/>
        <v>11876.94444444444</v>
      </c>
      <c r="K41" s="4">
        <f>(D41^2/2)*(((20/3)*B41*$B$5)+(40*$B$5))</f>
        <v>6243.6111111111095</v>
      </c>
      <c r="L41" s="4">
        <f>D41^3*(10/9)*$B$5^2</f>
        <v>203.42592592592581</v>
      </c>
      <c r="M41" s="4">
        <f t="shared" si="8"/>
        <v>5836.7592592592564</v>
      </c>
      <c r="N41" s="3">
        <f>((10/3)*(A41-1)^2+40*(A41-1))*$B$4+$N$28</f>
        <v>1185.208333333333</v>
      </c>
      <c r="O41" s="4">
        <f t="shared" si="9"/>
        <v>21244.18981481481</v>
      </c>
      <c r="P41" s="4"/>
      <c r="Q41" s="4">
        <f t="shared" si="10"/>
        <v>29.505819187242789</v>
      </c>
      <c r="R41" s="4"/>
    </row>
    <row r="42" spans="1:23" x14ac:dyDescent="0.25">
      <c r="A42" s="2">
        <v>1.7</v>
      </c>
      <c r="B42" s="1">
        <f t="shared" si="5"/>
        <v>0.7</v>
      </c>
      <c r="C42" s="3">
        <f>A42*$B$3/3</f>
        <v>1133.3333333333333</v>
      </c>
      <c r="D42" s="3">
        <f>(A42-1)*$B$3/3</f>
        <v>466.66666666666669</v>
      </c>
      <c r="E42" s="3">
        <f t="shared" si="6"/>
        <v>9333.3333333333339</v>
      </c>
      <c r="F42" s="4"/>
      <c r="H42" s="4"/>
      <c r="I42" s="4">
        <f t="shared" si="4"/>
        <v>5555.5555555555566</v>
      </c>
      <c r="J42" s="4">
        <f t="shared" si="7"/>
        <v>13828.888888888889</v>
      </c>
      <c r="K42" s="4">
        <f>(D42^2/2)*(((20/3)*B42*$B$5)+(40*$B$5))</f>
        <v>7295.5555555555557</v>
      </c>
      <c r="L42" s="4">
        <f>D42^3*(10/9)*$B$5^2</f>
        <v>254.0740740740741</v>
      </c>
      <c r="M42" s="4">
        <f t="shared" si="8"/>
        <v>6787.4074074074069</v>
      </c>
      <c r="N42" s="3">
        <f>((10/3)*(A42-1)^2+40*(A42-1))*$B$4+$N$28</f>
        <v>1240.8333333333335</v>
      </c>
      <c r="O42" s="4">
        <f>I42+E42+M42+N42</f>
        <v>22917.129629629631</v>
      </c>
      <c r="P42" s="4"/>
      <c r="Q42" s="4">
        <f t="shared" si="10"/>
        <v>31.829346707818932</v>
      </c>
      <c r="R42" s="4"/>
    </row>
    <row r="43" spans="1:23" x14ac:dyDescent="0.25">
      <c r="A43" s="1">
        <v>1.75</v>
      </c>
      <c r="B43" s="1">
        <f t="shared" si="5"/>
        <v>0.75</v>
      </c>
      <c r="C43" s="3">
        <f>A43*$B$3/3</f>
        <v>1166.6666666666667</v>
      </c>
      <c r="D43" s="3">
        <f>(A43-1)*$B$3/3</f>
        <v>500</v>
      </c>
      <c r="E43" s="3">
        <f t="shared" si="6"/>
        <v>10000</v>
      </c>
      <c r="F43" s="4"/>
      <c r="H43" s="4"/>
      <c r="I43" s="4">
        <f t="shared" si="4"/>
        <v>5555.5555555555566</v>
      </c>
      <c r="J43" s="4">
        <f t="shared" si="7"/>
        <v>15937.5</v>
      </c>
      <c r="K43" s="4">
        <f>(D43^2/2)*(((20/3)*B43*$B$5)+(40*$B$5))</f>
        <v>8437.5</v>
      </c>
      <c r="L43" s="4">
        <f>D43^3*(10/9)*$B$5^2</f>
        <v>312.5</v>
      </c>
      <c r="M43" s="4">
        <f t="shared" si="8"/>
        <v>7812.5</v>
      </c>
      <c r="N43" s="3">
        <f>((10/3)*(A43-1)^2+40*(A43-1))*$B$4+$N$28</f>
        <v>1296.875</v>
      </c>
      <c r="O43" s="4">
        <f t="shared" si="9"/>
        <v>24664.930555555555</v>
      </c>
      <c r="P43" s="4"/>
      <c r="Q43" s="4">
        <f t="shared" si="10"/>
        <v>34.256847993827158</v>
      </c>
      <c r="R43" s="4"/>
    </row>
    <row r="44" spans="1:23" x14ac:dyDescent="0.25">
      <c r="A44" s="2">
        <v>1.8</v>
      </c>
      <c r="B44" s="1">
        <f t="shared" si="5"/>
        <v>0.8</v>
      </c>
      <c r="C44" s="3">
        <f>A44*$B$3/3</f>
        <v>1200</v>
      </c>
      <c r="D44" s="3">
        <f>(A44-1)*$B$3/3</f>
        <v>533.33333333333337</v>
      </c>
      <c r="E44" s="3">
        <f t="shared" si="6"/>
        <v>10666.666666666668</v>
      </c>
      <c r="F44" s="4"/>
      <c r="H44" s="4"/>
      <c r="I44" s="4">
        <f t="shared" si="4"/>
        <v>5555.5555555555566</v>
      </c>
      <c r="J44" s="4">
        <f t="shared" si="7"/>
        <v>18204.444444444445</v>
      </c>
      <c r="K44" s="4">
        <f>(D44^2/2)*(((20/3)*B44*$B$5)+(40*$B$5))</f>
        <v>9671.1111111111131</v>
      </c>
      <c r="L44" s="4">
        <f>D44^3*(10/9)*$B$5^2</f>
        <v>379.25925925925935</v>
      </c>
      <c r="M44" s="4">
        <f t="shared" si="8"/>
        <v>8912.5925925925912</v>
      </c>
      <c r="N44" s="3">
        <f>((10/3)*(A44-1)^2+40*(A44-1))*$B$4+$N$28</f>
        <v>1353.3333333333335</v>
      </c>
      <c r="O44" s="4">
        <f t="shared" si="9"/>
        <v>26488.14814814815</v>
      </c>
      <c r="P44" s="4"/>
      <c r="Q44" s="4">
        <f t="shared" si="10"/>
        <v>36.789094650205762</v>
      </c>
      <c r="R44" s="4"/>
    </row>
    <row r="45" spans="1:23" x14ac:dyDescent="0.25">
      <c r="A45" s="1">
        <v>1.85</v>
      </c>
      <c r="B45" s="1">
        <f t="shared" si="5"/>
        <v>0.85000000000000009</v>
      </c>
      <c r="C45" s="3">
        <f>A45*$B$3/3</f>
        <v>1233.3333333333333</v>
      </c>
      <c r="D45" s="3">
        <f>(A45-1)*$B$3/3</f>
        <v>566.66666666666674</v>
      </c>
      <c r="E45" s="3">
        <f t="shared" si="6"/>
        <v>11333.333333333336</v>
      </c>
      <c r="F45" s="4"/>
      <c r="H45" s="4"/>
      <c r="I45" s="4">
        <f t="shared" si="4"/>
        <v>5555.5555555555566</v>
      </c>
      <c r="J45" s="4">
        <f t="shared" si="7"/>
        <v>20631.388888888891</v>
      </c>
      <c r="K45" s="4">
        <f>(D45^2/2)*(((20/3)*B45*$B$5)+(40*$B$5))</f>
        <v>10998.055555555558</v>
      </c>
      <c r="L45" s="4">
        <f>D45^3*(10/9)*$B$5^2</f>
        <v>454.90740740740756</v>
      </c>
      <c r="M45" s="4">
        <f t="shared" si="8"/>
        <v>10088.240740740739</v>
      </c>
      <c r="N45" s="3">
        <f>((10/3)*(A45-1)^2+40*(A45-1))*$B$4+$N$28</f>
        <v>1410.2083333333333</v>
      </c>
      <c r="O45" s="4">
        <f t="shared" si="9"/>
        <v>28387.33796296296</v>
      </c>
      <c r="P45" s="4"/>
      <c r="Q45" s="4">
        <f t="shared" si="10"/>
        <v>39.426858281893004</v>
      </c>
      <c r="R45" s="4"/>
    </row>
    <row r="46" spans="1:23" x14ac:dyDescent="0.25">
      <c r="A46" s="2">
        <v>1.9</v>
      </c>
      <c r="B46" s="1">
        <f t="shared" si="5"/>
        <v>0.89999999999999991</v>
      </c>
      <c r="C46" s="3">
        <f>A46*$B$3/3</f>
        <v>1266.6666666666667</v>
      </c>
      <c r="D46" s="3">
        <f>(A46-1)*$B$3/3</f>
        <v>599.99999999999989</v>
      </c>
      <c r="E46" s="3">
        <f t="shared" si="6"/>
        <v>11999.999999999998</v>
      </c>
      <c r="F46" s="4"/>
      <c r="H46" s="4"/>
      <c r="I46" s="4">
        <f t="shared" si="4"/>
        <v>5555.5555555555566</v>
      </c>
      <c r="J46" s="4">
        <f t="shared" si="7"/>
        <v>23219.999999999996</v>
      </c>
      <c r="K46" s="4">
        <f>(D46^2/2)*(((20/3)*B46*$B$5)+(40*$B$5))</f>
        <v>12419.999999999996</v>
      </c>
      <c r="L46" s="4">
        <f>D46^3*(10/9)*$B$5^2</f>
        <v>539.99999999999977</v>
      </c>
      <c r="M46" s="4">
        <f>J46-K46+L46</f>
        <v>11340</v>
      </c>
      <c r="N46" s="3">
        <f>((10/3)*(A46-1)^2+40*(A46-1))*$B$4+$N$28</f>
        <v>1467.5</v>
      </c>
      <c r="O46" s="4">
        <f t="shared" si="9"/>
        <v>30363.055555555555</v>
      </c>
      <c r="P46" s="4"/>
      <c r="Q46" s="4">
        <f t="shared" si="10"/>
        <v>42.170910493827151</v>
      </c>
      <c r="R46" s="4"/>
    </row>
    <row r="47" spans="1:23" x14ac:dyDescent="0.25">
      <c r="A47" s="1">
        <v>1.95</v>
      </c>
      <c r="B47" s="1">
        <f t="shared" si="5"/>
        <v>0.95</v>
      </c>
      <c r="C47" s="3">
        <f>A47*$B$3/3</f>
        <v>1300</v>
      </c>
      <c r="D47" s="3">
        <f>(A47-1)*$B$3/3</f>
        <v>633.33333333333337</v>
      </c>
      <c r="E47" s="3">
        <f t="shared" si="6"/>
        <v>12666.666666666668</v>
      </c>
      <c r="F47" s="4"/>
      <c r="H47" s="4"/>
      <c r="I47" s="4">
        <f t="shared" si="4"/>
        <v>5555.5555555555566</v>
      </c>
      <c r="J47" s="4">
        <f t="shared" si="7"/>
        <v>25971.944444444445</v>
      </c>
      <c r="K47" s="4">
        <f>(D47^2/2)*(((20/3)*B47*$B$5)+(40*$B$5))</f>
        <v>13938.611111111111</v>
      </c>
      <c r="L47" s="4">
        <f>D47^3*(10/9)*$B$5^2</f>
        <v>635.09259259259272</v>
      </c>
      <c r="M47" s="4">
        <f t="shared" ref="M47:M58" si="11">J47-K47+L47</f>
        <v>12668.425925925927</v>
      </c>
      <c r="N47" s="3">
        <f>((10/3)*(A47-1)^2+40*(A47-1))*$B$4+$N$28</f>
        <v>1525.2083333333333</v>
      </c>
      <c r="O47" s="4">
        <f t="shared" si="9"/>
        <v>32415.856481481485</v>
      </c>
      <c r="P47" s="4"/>
      <c r="Q47" s="4">
        <f t="shared" si="10"/>
        <v>45.022022890946502</v>
      </c>
      <c r="R47" s="4"/>
    </row>
    <row r="48" spans="1:23" x14ac:dyDescent="0.25">
      <c r="A48" s="2">
        <v>2</v>
      </c>
      <c r="B48" s="1">
        <f t="shared" si="5"/>
        <v>1</v>
      </c>
      <c r="C48" s="3">
        <f>A48*$B$3/3</f>
        <v>1333.3333333333333</v>
      </c>
      <c r="D48" s="3">
        <f>(A48-1)*$B$3/3</f>
        <v>666.66666666666663</v>
      </c>
      <c r="E48" s="3">
        <f t="shared" si="6"/>
        <v>13333.333333333332</v>
      </c>
      <c r="F48" s="4"/>
      <c r="H48" s="4"/>
      <c r="I48" s="4">
        <f t="shared" si="4"/>
        <v>5555.5555555555566</v>
      </c>
      <c r="J48" s="4">
        <f t="shared" si="7"/>
        <v>28888.888888888891</v>
      </c>
      <c r="K48" s="4">
        <f>(D48^2/2)*(((20/3)*B48*$B$5)+(40*$B$5))</f>
        <v>15555.555555555551</v>
      </c>
      <c r="L48" s="4">
        <f>D48^3*(10/9)*$B$5^2</f>
        <v>740.74074074074065</v>
      </c>
      <c r="M48" s="4">
        <f t="shared" si="11"/>
        <v>14074.07407407408</v>
      </c>
      <c r="N48" s="3">
        <f>((10/3)*(A48-1)^2+40*(A48-1))*$B$4+$N$28</f>
        <v>1583.3333333333335</v>
      </c>
      <c r="O48" s="4">
        <f t="shared" si="9"/>
        <v>34546.296296296307</v>
      </c>
      <c r="P48" s="4"/>
      <c r="Q48" s="4">
        <f t="shared" si="10"/>
        <v>47.980967078189309</v>
      </c>
      <c r="R48" s="4"/>
    </row>
    <row r="49" spans="1:18" x14ac:dyDescent="0.25">
      <c r="A49" s="1">
        <v>2.0499999999999998</v>
      </c>
      <c r="B49" s="1">
        <f t="shared" si="5"/>
        <v>1.0499999999999998</v>
      </c>
      <c r="C49" s="3">
        <f>A49*$B$3/3</f>
        <v>1366.6666666666667</v>
      </c>
      <c r="D49" s="3">
        <f>(A49-1)*$B$3/3</f>
        <v>699.99999999999989</v>
      </c>
      <c r="E49" s="3">
        <f t="shared" si="6"/>
        <v>13999.999999999998</v>
      </c>
      <c r="F49" s="4"/>
      <c r="H49" s="4"/>
      <c r="I49" s="4">
        <f t="shared" si="4"/>
        <v>5555.5555555555566</v>
      </c>
      <c r="J49" s="4">
        <f t="shared" si="7"/>
        <v>31972.499999999989</v>
      </c>
      <c r="K49" s="4">
        <f>(D49^2/2)*(((20/3)*B49*$B$5)+(40*$B$5))</f>
        <v>17272.499999999993</v>
      </c>
      <c r="L49" s="4">
        <f>D49^3*(10/9)*$B$5^2</f>
        <v>857.49999999999966</v>
      </c>
      <c r="M49" s="4">
        <f t="shared" si="11"/>
        <v>15557.499999999996</v>
      </c>
      <c r="N49" s="3">
        <f>((10/3)*(A49-1)^2+40*(A49-1))*$B$4+$N$28</f>
        <v>1641.8749999999998</v>
      </c>
      <c r="O49" s="4">
        <f t="shared" si="9"/>
        <v>36754.930555555547</v>
      </c>
      <c r="P49" s="4"/>
      <c r="Q49" s="4">
        <f t="shared" si="10"/>
        <v>51.048514660493808</v>
      </c>
      <c r="R49" s="4"/>
    </row>
    <row r="50" spans="1:18" x14ac:dyDescent="0.25">
      <c r="A50" s="2">
        <v>2.1</v>
      </c>
      <c r="B50" s="1">
        <f t="shared" si="5"/>
        <v>1.1000000000000001</v>
      </c>
      <c r="C50" s="3">
        <f>A50*$B$3/3</f>
        <v>1400</v>
      </c>
      <c r="D50" s="3">
        <f>(A50-1)*$B$3/3</f>
        <v>733.33333333333337</v>
      </c>
      <c r="E50" s="3">
        <f t="shared" si="6"/>
        <v>14666.666666666668</v>
      </c>
      <c r="F50" s="4"/>
      <c r="H50" s="4"/>
      <c r="I50" s="4">
        <f t="shared" si="4"/>
        <v>5555.5555555555566</v>
      </c>
      <c r="J50" s="4">
        <f t="shared" si="7"/>
        <v>35224.444444444445</v>
      </c>
      <c r="K50" s="4">
        <f>(D50^2/2)*(((20/3)*B50*$B$5)+(40*$B$5))</f>
        <v>19091.111111111113</v>
      </c>
      <c r="L50" s="4">
        <f>D50^3*(10/9)*$B$5^2</f>
        <v>985.92592592592621</v>
      </c>
      <c r="M50" s="4">
        <f t="shared" si="11"/>
        <v>17119.259259259259</v>
      </c>
      <c r="N50" s="3">
        <f>((10/3)*(A50-1)^2+40*(A50-1))*$B$4+$N$28</f>
        <v>1700.8333333333333</v>
      </c>
      <c r="O50" s="4">
        <f t="shared" si="9"/>
        <v>39042.314814814825</v>
      </c>
      <c r="P50" s="4"/>
      <c r="Q50" s="4">
        <f t="shared" si="10"/>
        <v>54.225437242798357</v>
      </c>
      <c r="R50" s="4"/>
    </row>
    <row r="51" spans="1:18" x14ac:dyDescent="0.25">
      <c r="A51" s="1">
        <v>2.15</v>
      </c>
      <c r="B51" s="1">
        <f t="shared" si="5"/>
        <v>1.1499999999999999</v>
      </c>
      <c r="C51" s="3">
        <f>A51*$B$3/3</f>
        <v>1433.3333333333333</v>
      </c>
      <c r="D51" s="3">
        <f>(A51-1)*$B$3/3</f>
        <v>766.66666666666663</v>
      </c>
      <c r="E51" s="3">
        <f t="shared" si="6"/>
        <v>15333.333333333332</v>
      </c>
      <c r="F51" s="4"/>
      <c r="H51" s="4"/>
      <c r="I51" s="4">
        <f t="shared" si="4"/>
        <v>5555.5555555555566</v>
      </c>
      <c r="J51" s="4">
        <f t="shared" si="7"/>
        <v>38646.388888888883</v>
      </c>
      <c r="K51" s="4">
        <f>(D51^2/2)*(((20/3)*B51*$B$5)+(40*$B$5))</f>
        <v>21013.055555555551</v>
      </c>
      <c r="L51" s="4">
        <f>D51^3*(10/9)*$B$5^2</f>
        <v>1126.5740740740741</v>
      </c>
      <c r="M51" s="4">
        <f t="shared" si="11"/>
        <v>18759.907407407405</v>
      </c>
      <c r="N51" s="3">
        <f>((10/3)*(A51-1)^2+40*(A51-1))*$B$4+$N$28</f>
        <v>1760.2083333333333</v>
      </c>
      <c r="O51" s="4">
        <f t="shared" si="9"/>
        <v>41409.004629629628</v>
      </c>
      <c r="P51" s="4"/>
      <c r="Q51" s="4">
        <f t="shared" si="10"/>
        <v>57.512506430041149</v>
      </c>
      <c r="R51" s="4"/>
    </row>
    <row r="52" spans="1:18" x14ac:dyDescent="0.25">
      <c r="A52" s="2">
        <v>2.2000000000000002</v>
      </c>
      <c r="B52" s="1">
        <f t="shared" si="5"/>
        <v>1.2000000000000002</v>
      </c>
      <c r="C52" s="3">
        <f>A52*$B$3/3</f>
        <v>1466.6666666666667</v>
      </c>
      <c r="D52" s="3">
        <f>(A52-1)*$B$3/3</f>
        <v>800.00000000000011</v>
      </c>
      <c r="E52" s="3">
        <f t="shared" si="6"/>
        <v>16000.000000000002</v>
      </c>
      <c r="F52" s="4"/>
      <c r="H52" s="4"/>
      <c r="I52" s="4">
        <f t="shared" si="4"/>
        <v>5555.5555555555566</v>
      </c>
      <c r="J52" s="4">
        <f t="shared" si="7"/>
        <v>42240.000000000015</v>
      </c>
      <c r="K52" s="4">
        <f>(D52^2/2)*(((20/3)*B52*$B$5)+(40*$B$5))</f>
        <v>23040.000000000011</v>
      </c>
      <c r="L52" s="4">
        <f>D52^3*(10/9)*$B$5^2</f>
        <v>1280.0000000000007</v>
      </c>
      <c r="M52" s="4">
        <f t="shared" si="11"/>
        <v>20480.000000000004</v>
      </c>
      <c r="N52" s="3">
        <f>((10/3)*(A52-1)^2+40*(A52-1))*$B$4+$N$28</f>
        <v>1820.0000000000002</v>
      </c>
      <c r="O52" s="4">
        <f t="shared" si="9"/>
        <v>43855.555555555562</v>
      </c>
      <c r="P52" s="4"/>
      <c r="Q52" s="4">
        <f t="shared" si="10"/>
        <v>60.910493827160501</v>
      </c>
      <c r="R52" s="4"/>
    </row>
    <row r="53" spans="1:18" x14ac:dyDescent="0.25">
      <c r="A53" s="1">
        <v>2.25</v>
      </c>
      <c r="B53" s="1">
        <f t="shared" si="5"/>
        <v>1.25</v>
      </c>
      <c r="C53" s="3">
        <f>A53*$B$3/3</f>
        <v>1500</v>
      </c>
      <c r="D53" s="3">
        <f>(A53-1)*$B$3/3</f>
        <v>833.33333333333337</v>
      </c>
      <c r="E53" s="3">
        <f t="shared" si="6"/>
        <v>16666.666666666668</v>
      </c>
      <c r="F53" s="4"/>
      <c r="H53" s="4"/>
      <c r="I53" s="4">
        <f t="shared" si="4"/>
        <v>5555.5555555555566</v>
      </c>
      <c r="J53" s="4">
        <f t="shared" si="7"/>
        <v>46006.944444444445</v>
      </c>
      <c r="K53" s="4">
        <f>(D53^2/2)*(((20/3)*B53*$B$5)+(40*$B$5))</f>
        <v>25173.611111111109</v>
      </c>
      <c r="L53" s="4">
        <f>D53^3*(10/9)*$B$5^2</f>
        <v>1446.7592592592596</v>
      </c>
      <c r="M53" s="4">
        <f t="shared" si="11"/>
        <v>22280.092592592595</v>
      </c>
      <c r="N53" s="3">
        <f>((10/3)*(A53-1)^2+40*(A53-1))*$B$4+$N$28</f>
        <v>1880.2083333333335</v>
      </c>
      <c r="O53" s="4">
        <f t="shared" si="9"/>
        <v>46382.523148148153</v>
      </c>
      <c r="P53" s="4"/>
      <c r="Q53" s="4">
        <f t="shared" si="10"/>
        <v>64.420171039094654</v>
      </c>
      <c r="R53" s="4"/>
    </row>
    <row r="54" spans="1:18" x14ac:dyDescent="0.25">
      <c r="A54" s="2">
        <v>2.2999999999999998</v>
      </c>
      <c r="B54" s="1">
        <f t="shared" si="5"/>
        <v>1.2999999999999998</v>
      </c>
      <c r="C54" s="3">
        <f>A54*$B$3/3</f>
        <v>1533.3333333333333</v>
      </c>
      <c r="D54" s="3">
        <f>(A54-1)*$B$3/3</f>
        <v>866.66666666666652</v>
      </c>
      <c r="E54" s="3">
        <f t="shared" si="6"/>
        <v>17333.333333333328</v>
      </c>
      <c r="F54" s="4"/>
      <c r="H54" s="4"/>
      <c r="I54" s="4">
        <f t="shared" si="4"/>
        <v>5555.5555555555566</v>
      </c>
      <c r="J54" s="4">
        <f t="shared" si="7"/>
        <v>49948.888888888876</v>
      </c>
      <c r="K54" s="4">
        <f>(D54^2/2)*(((20/3)*B54*$B$5)+(40*$B$5))</f>
        <v>27415.555555555547</v>
      </c>
      <c r="L54" s="4">
        <f>D54^3*(10/9)*$B$5^2</f>
        <v>1627.4074074074065</v>
      </c>
      <c r="M54" s="4">
        <f t="shared" si="11"/>
        <v>24160.740740740734</v>
      </c>
      <c r="N54" s="3">
        <f>((10/3)*(A54-1)^2+40*(A54-1))*$B$4+$N$28</f>
        <v>1940.833333333333</v>
      </c>
      <c r="O54" s="4">
        <f t="shared" si="9"/>
        <v>48990.462962962956</v>
      </c>
      <c r="P54" s="4"/>
      <c r="Q54" s="4">
        <f t="shared" si="10"/>
        <v>68.042309670781876</v>
      </c>
      <c r="R54" s="4"/>
    </row>
    <row r="55" spans="1:18" x14ac:dyDescent="0.25">
      <c r="A55" s="1">
        <v>2.35</v>
      </c>
      <c r="B55" s="1">
        <f t="shared" si="5"/>
        <v>1.35</v>
      </c>
      <c r="C55" s="3">
        <f>A55*$B$3/3</f>
        <v>1566.6666666666667</v>
      </c>
      <c r="D55" s="3">
        <f>(A55-1)*$B$3/3</f>
        <v>900</v>
      </c>
      <c r="E55" s="3">
        <f t="shared" si="6"/>
        <v>18000</v>
      </c>
      <c r="F55" s="4"/>
      <c r="H55" s="4"/>
      <c r="I55" s="4">
        <f t="shared" si="4"/>
        <v>5555.5555555555566</v>
      </c>
      <c r="J55" s="4">
        <f t="shared" si="7"/>
        <v>54067.5</v>
      </c>
      <c r="K55" s="4">
        <f>(D55^2/2)*(((20/3)*B55*$B$5)+(40*$B$5))</f>
        <v>29767.5</v>
      </c>
      <c r="L55" s="4">
        <f>D55^3*(10/9)*$B$5^2</f>
        <v>1822.5</v>
      </c>
      <c r="M55" s="4">
        <f t="shared" si="11"/>
        <v>26122.5</v>
      </c>
      <c r="N55" s="3">
        <f>((10/3)*(A55-1)^2+40*(A55-1))*$B$4+$N$28</f>
        <v>2001.875</v>
      </c>
      <c r="O55" s="4">
        <f t="shared" si="9"/>
        <v>51679.930555555555</v>
      </c>
      <c r="P55" s="4"/>
      <c r="Q55" s="4">
        <f t="shared" si="10"/>
        <v>71.777681327160494</v>
      </c>
      <c r="R55" s="4"/>
    </row>
    <row r="56" spans="1:18" x14ac:dyDescent="0.25">
      <c r="A56" s="2">
        <v>2.4</v>
      </c>
      <c r="B56" s="1">
        <f t="shared" si="5"/>
        <v>1.4</v>
      </c>
      <c r="C56" s="3">
        <f>A56*$B$3/3</f>
        <v>1600</v>
      </c>
      <c r="D56" s="3">
        <f>(A56-1)*$B$3/3</f>
        <v>933.33333333333337</v>
      </c>
      <c r="E56" s="3">
        <f t="shared" si="6"/>
        <v>18666.666666666668</v>
      </c>
      <c r="F56" s="4"/>
      <c r="H56" s="4"/>
      <c r="I56" s="4">
        <f t="shared" si="4"/>
        <v>5555.5555555555566</v>
      </c>
      <c r="J56" s="4">
        <f t="shared" si="7"/>
        <v>58364.444444444445</v>
      </c>
      <c r="K56" s="4">
        <f>(D56^2/2)*(((20/3)*B56*$B$5)+(40*$B$5))</f>
        <v>32231.111111111109</v>
      </c>
      <c r="L56" s="4">
        <f>D56^3*(10/9)*$B$5^2</f>
        <v>2032.5925925925928</v>
      </c>
      <c r="M56" s="4">
        <f t="shared" si="11"/>
        <v>28165.925925925927</v>
      </c>
      <c r="N56" s="3">
        <f>((10/3)*(A56-1)^2+40*(A56-1))*$B$4+$N$28</f>
        <v>2063.333333333333</v>
      </c>
      <c r="O56" s="4">
        <f t="shared" si="9"/>
        <v>54451.481481481489</v>
      </c>
      <c r="P56" s="4"/>
      <c r="Q56" s="4">
        <f t="shared" si="10"/>
        <v>75.627057613168731</v>
      </c>
      <c r="R56" s="4"/>
    </row>
    <row r="57" spans="1:18" x14ac:dyDescent="0.25">
      <c r="A57" s="1">
        <v>2.4500000000000002</v>
      </c>
      <c r="B57" s="1">
        <f t="shared" si="5"/>
        <v>1.4500000000000002</v>
      </c>
      <c r="C57" s="3">
        <f>A57*$B$3/3</f>
        <v>1633.3333333333333</v>
      </c>
      <c r="D57" s="3">
        <f>(A57-1)*$B$3/3</f>
        <v>966.66666666666686</v>
      </c>
      <c r="E57" s="3">
        <f t="shared" si="6"/>
        <v>19333.333333333336</v>
      </c>
      <c r="F57" s="4"/>
      <c r="H57" s="4"/>
      <c r="I57" s="4">
        <f t="shared" si="4"/>
        <v>5555.5555555555566</v>
      </c>
      <c r="J57" s="4">
        <f t="shared" si="7"/>
        <v>62841.388888888905</v>
      </c>
      <c r="K57" s="4">
        <f>(D57^2/2)*(((20/3)*B57*$B$5)+(40*$B$5))</f>
        <v>34808.055555555569</v>
      </c>
      <c r="L57" s="4">
        <f>D57^3*(10/9)*$B$5^2</f>
        <v>2258.2407407407422</v>
      </c>
      <c r="M57" s="4">
        <f t="shared" si="11"/>
        <v>30291.574074074077</v>
      </c>
      <c r="N57" s="3">
        <f>((10/3)*(A57-1)^2+40*(A57-1))*$B$4+$N$28</f>
        <v>2125.2083333333335</v>
      </c>
      <c r="O57" s="4">
        <f t="shared" si="9"/>
        <v>57305.671296296299</v>
      </c>
      <c r="P57" s="4"/>
      <c r="Q57" s="4">
        <f t="shared" si="10"/>
        <v>79.591210133744852</v>
      </c>
      <c r="R57" s="4"/>
    </row>
    <row r="58" spans="1:18" x14ac:dyDescent="0.25">
      <c r="A58" s="2">
        <v>2.5</v>
      </c>
      <c r="B58" s="1">
        <f t="shared" si="5"/>
        <v>1.5</v>
      </c>
      <c r="C58" s="3">
        <f>A58*$B$3/3</f>
        <v>1666.6666666666667</v>
      </c>
      <c r="D58" s="3">
        <f>(A58-1)*$B$3/3</f>
        <v>1000</v>
      </c>
      <c r="E58" s="3">
        <f t="shared" si="6"/>
        <v>20000</v>
      </c>
      <c r="F58" s="4"/>
      <c r="H58" s="4"/>
      <c r="I58" s="4">
        <f t="shared" si="4"/>
        <v>5555.5555555555566</v>
      </c>
      <c r="J58" s="4">
        <f t="shared" si="7"/>
        <v>67500</v>
      </c>
      <c r="K58" s="4">
        <f>(D58^2/2)*(((20/3)*B58*$B$5)+(40*$B$5))</f>
        <v>37500</v>
      </c>
      <c r="L58" s="4">
        <f>D58^3*(10/9)*$B$5^2</f>
        <v>2500</v>
      </c>
      <c r="M58" s="4">
        <f t="shared" si="11"/>
        <v>32500</v>
      </c>
      <c r="N58" s="3">
        <f>((10/3)*(A58-1)^2+40*(A58-1))*$B$4+$N$28</f>
        <v>2187.5</v>
      </c>
      <c r="O58" s="4">
        <f t="shared" si="9"/>
        <v>60243.055555555555</v>
      </c>
      <c r="P58" s="4"/>
      <c r="Q58" s="4">
        <f t="shared" si="10"/>
        <v>83.670910493827165</v>
      </c>
      <c r="R58" s="4"/>
    </row>
  </sheetData>
  <mergeCells count="2">
    <mergeCell ref="F6:H6"/>
    <mergeCell ref="J6:L6"/>
  </mergeCell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F57CC-A815-494F-BC06-2CAB9DE5208D}">
  <dimension ref="A1:G56"/>
  <sheetViews>
    <sheetView zoomScale="70" zoomScaleNormal="70" workbookViewId="0">
      <selection activeCell="D30" sqref="D30"/>
    </sheetView>
  </sheetViews>
  <sheetFormatPr defaultRowHeight="15" x14ac:dyDescent="0.25"/>
  <cols>
    <col min="1" max="1" width="27.85546875" customWidth="1"/>
    <col min="2" max="2" width="10.7109375" customWidth="1"/>
    <col min="3" max="3" width="14.28515625" customWidth="1"/>
    <col min="4" max="4" width="21" bestFit="1" customWidth="1"/>
    <col min="5" max="5" width="23.85546875" bestFit="1" customWidth="1"/>
    <col min="6" max="6" width="17.140625" customWidth="1"/>
    <col min="7" max="7" width="10.140625" bestFit="1" customWidth="1"/>
  </cols>
  <sheetData>
    <row r="1" spans="1:7" x14ac:dyDescent="0.25">
      <c r="A1" t="s">
        <v>4</v>
      </c>
      <c r="B1">
        <v>0.2</v>
      </c>
    </row>
    <row r="2" spans="1:7" x14ac:dyDescent="0.25">
      <c r="A2" t="s">
        <v>6</v>
      </c>
      <c r="B2">
        <v>10</v>
      </c>
    </row>
    <row r="3" spans="1:7" x14ac:dyDescent="0.25">
      <c r="A3" t="s">
        <v>5</v>
      </c>
      <c r="B3">
        <v>2000</v>
      </c>
    </row>
    <row r="5" spans="1:7" x14ac:dyDescent="0.25">
      <c r="A5" t="s">
        <v>10</v>
      </c>
      <c r="B5" t="s">
        <v>20</v>
      </c>
      <c r="C5" t="s">
        <v>25</v>
      </c>
      <c r="D5" t="s">
        <v>27</v>
      </c>
      <c r="E5" t="s">
        <v>28</v>
      </c>
      <c r="F5" t="s">
        <v>19</v>
      </c>
      <c r="G5" t="s">
        <v>7</v>
      </c>
    </row>
    <row r="6" spans="1:7" x14ac:dyDescent="0.25">
      <c r="A6">
        <v>0</v>
      </c>
      <c r="C6">
        <v>0</v>
      </c>
      <c r="D6">
        <f>(10*A6^2+10*A6)*25</f>
        <v>0</v>
      </c>
      <c r="E6">
        <f>(10*A6^2+20*A6)*25</f>
        <v>0</v>
      </c>
      <c r="F6">
        <f>SUM(C6:E6)</f>
        <v>0</v>
      </c>
      <c r="G6">
        <v>0</v>
      </c>
    </row>
    <row r="7" spans="1:7" x14ac:dyDescent="0.25">
      <c r="A7" s="1">
        <v>0.05</v>
      </c>
      <c r="B7" s="1"/>
      <c r="C7" s="3">
        <f>10*A7*$B$3+(A7*$B$3^2)/400+10*$B$3*A7^2</f>
        <v>1550</v>
      </c>
      <c r="D7">
        <f t="shared" ref="D7:D26" si="0">(10*A7^2+10*A7)*25</f>
        <v>13.125</v>
      </c>
      <c r="E7">
        <f t="shared" ref="E7:E26" si="1">(10*A7^2+20*A7)*25</f>
        <v>25.624999999999996</v>
      </c>
      <c r="F7">
        <f t="shared" ref="F7:F56" si="2">SUM(C7:E7)</f>
        <v>1588.75</v>
      </c>
      <c r="G7" s="4">
        <f>(C7/0.2)/60/60</f>
        <v>2.1527777777777777</v>
      </c>
    </row>
    <row r="8" spans="1:7" x14ac:dyDescent="0.25">
      <c r="A8" s="2">
        <v>0.1</v>
      </c>
      <c r="B8" s="2"/>
      <c r="C8" s="3">
        <f t="shared" ref="C8:C26" si="3">10*A8*$B$3+(A8*$B$3^2)/400+10*$B$3*A8^2</f>
        <v>3200</v>
      </c>
      <c r="D8">
        <f t="shared" si="0"/>
        <v>27.500000000000004</v>
      </c>
      <c r="E8">
        <f t="shared" si="1"/>
        <v>52.5</v>
      </c>
      <c r="F8">
        <f t="shared" si="2"/>
        <v>3280</v>
      </c>
      <c r="G8" s="4">
        <f t="shared" ref="G8:G56" si="4">(C8/0.2)/60/60</f>
        <v>4.4444444444444446</v>
      </c>
    </row>
    <row r="9" spans="1:7" x14ac:dyDescent="0.25">
      <c r="A9" s="1">
        <v>0.15</v>
      </c>
      <c r="B9" s="1"/>
      <c r="C9" s="3">
        <f t="shared" si="3"/>
        <v>4950</v>
      </c>
      <c r="D9">
        <f t="shared" si="0"/>
        <v>43.125</v>
      </c>
      <c r="E9">
        <f t="shared" si="1"/>
        <v>80.625</v>
      </c>
      <c r="F9">
        <f t="shared" si="2"/>
        <v>5073.75</v>
      </c>
      <c r="G9" s="4">
        <f t="shared" si="4"/>
        <v>6.875</v>
      </c>
    </row>
    <row r="10" spans="1:7" x14ac:dyDescent="0.25">
      <c r="A10" s="2">
        <v>0.2</v>
      </c>
      <c r="B10" s="2"/>
      <c r="C10" s="3">
        <f t="shared" si="3"/>
        <v>6800</v>
      </c>
      <c r="D10">
        <f t="shared" si="0"/>
        <v>60</v>
      </c>
      <c r="E10">
        <f t="shared" si="1"/>
        <v>110.00000000000001</v>
      </c>
      <c r="F10">
        <f t="shared" si="2"/>
        <v>6970</v>
      </c>
      <c r="G10" s="4">
        <f t="shared" si="4"/>
        <v>9.4444444444444446</v>
      </c>
    </row>
    <row r="11" spans="1:7" x14ac:dyDescent="0.25">
      <c r="A11" s="1">
        <v>0.25</v>
      </c>
      <c r="B11" s="1"/>
      <c r="C11" s="3">
        <f t="shared" si="3"/>
        <v>8750</v>
      </c>
      <c r="D11">
        <f t="shared" si="0"/>
        <v>78.125</v>
      </c>
      <c r="E11">
        <f t="shared" si="1"/>
        <v>140.625</v>
      </c>
      <c r="F11">
        <f t="shared" si="2"/>
        <v>8968.75</v>
      </c>
      <c r="G11" s="4">
        <f t="shared" si="4"/>
        <v>12.152777777777777</v>
      </c>
    </row>
    <row r="12" spans="1:7" x14ac:dyDescent="0.25">
      <c r="A12" s="2">
        <v>0.3</v>
      </c>
      <c r="B12" s="2"/>
      <c r="C12" s="3">
        <f t="shared" si="3"/>
        <v>10800</v>
      </c>
      <c r="D12">
        <f t="shared" si="0"/>
        <v>97.5</v>
      </c>
      <c r="E12">
        <f t="shared" si="1"/>
        <v>172.5</v>
      </c>
      <c r="F12">
        <f t="shared" si="2"/>
        <v>11070</v>
      </c>
      <c r="G12" s="4">
        <f t="shared" si="4"/>
        <v>15</v>
      </c>
    </row>
    <row r="13" spans="1:7" x14ac:dyDescent="0.25">
      <c r="A13" s="1">
        <v>0.35</v>
      </c>
      <c r="B13" s="1"/>
      <c r="C13" s="3">
        <f t="shared" si="3"/>
        <v>12950</v>
      </c>
      <c r="D13">
        <f t="shared" si="0"/>
        <v>118.12499999999999</v>
      </c>
      <c r="E13">
        <f t="shared" si="1"/>
        <v>205.625</v>
      </c>
      <c r="F13">
        <f t="shared" si="2"/>
        <v>13273.75</v>
      </c>
      <c r="G13" s="4">
        <f t="shared" si="4"/>
        <v>17.986111111111111</v>
      </c>
    </row>
    <row r="14" spans="1:7" x14ac:dyDescent="0.25">
      <c r="A14" s="2">
        <v>0.4</v>
      </c>
      <c r="B14" s="2"/>
      <c r="C14" s="3">
        <f t="shared" si="3"/>
        <v>15200</v>
      </c>
      <c r="D14">
        <f t="shared" si="0"/>
        <v>140</v>
      </c>
      <c r="E14">
        <f t="shared" si="1"/>
        <v>240</v>
      </c>
      <c r="F14">
        <f t="shared" si="2"/>
        <v>15580</v>
      </c>
      <c r="G14" s="4">
        <f t="shared" si="4"/>
        <v>21.111111111111111</v>
      </c>
    </row>
    <row r="15" spans="1:7" x14ac:dyDescent="0.25">
      <c r="A15" s="1">
        <v>0.45</v>
      </c>
      <c r="B15" s="1"/>
      <c r="C15" s="3">
        <f t="shared" si="3"/>
        <v>17550</v>
      </c>
      <c r="D15">
        <f t="shared" si="0"/>
        <v>163.125</v>
      </c>
      <c r="E15">
        <f t="shared" si="1"/>
        <v>275.625</v>
      </c>
      <c r="F15">
        <f t="shared" si="2"/>
        <v>17988.75</v>
      </c>
      <c r="G15" s="4">
        <f t="shared" si="4"/>
        <v>24.375</v>
      </c>
    </row>
    <row r="16" spans="1:7" x14ac:dyDescent="0.25">
      <c r="A16" s="2">
        <v>0.5</v>
      </c>
      <c r="B16" s="2"/>
      <c r="C16" s="3">
        <f t="shared" si="3"/>
        <v>20000</v>
      </c>
      <c r="D16">
        <f t="shared" si="0"/>
        <v>187.5</v>
      </c>
      <c r="E16">
        <f t="shared" si="1"/>
        <v>312.5</v>
      </c>
      <c r="F16">
        <f t="shared" si="2"/>
        <v>20500</v>
      </c>
      <c r="G16" s="4">
        <f t="shared" si="4"/>
        <v>27.777777777777779</v>
      </c>
    </row>
    <row r="17" spans="1:7" x14ac:dyDescent="0.25">
      <c r="A17" s="1">
        <v>0.55000000000000004</v>
      </c>
      <c r="B17" s="1"/>
      <c r="C17" s="3">
        <f t="shared" si="3"/>
        <v>22550</v>
      </c>
      <c r="D17">
        <f t="shared" si="0"/>
        <v>213.125</v>
      </c>
      <c r="E17">
        <f t="shared" si="1"/>
        <v>350.625</v>
      </c>
      <c r="F17">
        <f t="shared" si="2"/>
        <v>23113.75</v>
      </c>
      <c r="G17" s="4">
        <f t="shared" si="4"/>
        <v>31.319444444444446</v>
      </c>
    </row>
    <row r="18" spans="1:7" x14ac:dyDescent="0.25">
      <c r="A18" s="2">
        <v>0.6</v>
      </c>
      <c r="B18" s="2"/>
      <c r="C18" s="3">
        <f t="shared" si="3"/>
        <v>25200</v>
      </c>
      <c r="D18">
        <f t="shared" si="0"/>
        <v>240</v>
      </c>
      <c r="E18">
        <f t="shared" si="1"/>
        <v>390</v>
      </c>
      <c r="F18">
        <f t="shared" si="2"/>
        <v>25830</v>
      </c>
      <c r="G18" s="4">
        <f t="shared" si="4"/>
        <v>35</v>
      </c>
    </row>
    <row r="19" spans="1:7" x14ac:dyDescent="0.25">
      <c r="A19" s="1">
        <v>0.65</v>
      </c>
      <c r="B19" s="1"/>
      <c r="C19" s="3">
        <f t="shared" si="3"/>
        <v>27950</v>
      </c>
      <c r="D19">
        <f t="shared" si="0"/>
        <v>268.12500000000006</v>
      </c>
      <c r="E19">
        <f t="shared" si="1"/>
        <v>430.62500000000006</v>
      </c>
      <c r="F19">
        <f t="shared" si="2"/>
        <v>28648.75</v>
      </c>
      <c r="G19" s="4">
        <f t="shared" si="4"/>
        <v>38.819444444444443</v>
      </c>
    </row>
    <row r="20" spans="1:7" x14ac:dyDescent="0.25">
      <c r="A20" s="2">
        <v>0.7</v>
      </c>
      <c r="B20" s="2"/>
      <c r="C20" s="3">
        <f t="shared" si="3"/>
        <v>30800</v>
      </c>
      <c r="D20">
        <f t="shared" si="0"/>
        <v>297.49999999999994</v>
      </c>
      <c r="E20">
        <f t="shared" si="1"/>
        <v>472.49999999999994</v>
      </c>
      <c r="F20">
        <f t="shared" si="2"/>
        <v>31570</v>
      </c>
      <c r="G20" s="4">
        <f t="shared" si="4"/>
        <v>42.777777777777779</v>
      </c>
    </row>
    <row r="21" spans="1:7" x14ac:dyDescent="0.25">
      <c r="A21" s="1">
        <v>0.75</v>
      </c>
      <c r="B21" s="1"/>
      <c r="C21" s="3">
        <f t="shared" si="3"/>
        <v>33750</v>
      </c>
      <c r="D21">
        <f t="shared" si="0"/>
        <v>328.125</v>
      </c>
      <c r="E21">
        <f t="shared" si="1"/>
        <v>515.625</v>
      </c>
      <c r="F21">
        <f t="shared" si="2"/>
        <v>34593.75</v>
      </c>
      <c r="G21" s="4">
        <f t="shared" si="4"/>
        <v>46.875</v>
      </c>
    </row>
    <row r="22" spans="1:7" x14ac:dyDescent="0.25">
      <c r="A22" s="2">
        <v>0.8</v>
      </c>
      <c r="B22" s="2"/>
      <c r="C22" s="3">
        <f t="shared" si="3"/>
        <v>36800</v>
      </c>
      <c r="D22">
        <f t="shared" si="0"/>
        <v>360.00000000000006</v>
      </c>
      <c r="E22">
        <f t="shared" si="1"/>
        <v>560</v>
      </c>
      <c r="F22">
        <f t="shared" si="2"/>
        <v>37720</v>
      </c>
      <c r="G22" s="4">
        <f t="shared" si="4"/>
        <v>51.111111111111107</v>
      </c>
    </row>
    <row r="23" spans="1:7" x14ac:dyDescent="0.25">
      <c r="A23" s="1">
        <v>0.85</v>
      </c>
      <c r="B23" s="1"/>
      <c r="C23" s="3">
        <f t="shared" si="3"/>
        <v>39950</v>
      </c>
      <c r="D23">
        <f t="shared" si="0"/>
        <v>393.125</v>
      </c>
      <c r="E23">
        <f t="shared" si="1"/>
        <v>605.625</v>
      </c>
      <c r="F23">
        <f t="shared" si="2"/>
        <v>40948.75</v>
      </c>
      <c r="G23" s="4">
        <f t="shared" si="4"/>
        <v>55.486111111111107</v>
      </c>
    </row>
    <row r="24" spans="1:7" x14ac:dyDescent="0.25">
      <c r="A24" s="2">
        <v>0.9</v>
      </c>
      <c r="B24" s="2"/>
      <c r="C24" s="3">
        <f t="shared" si="3"/>
        <v>43200</v>
      </c>
      <c r="D24">
        <f t="shared" si="0"/>
        <v>427.50000000000006</v>
      </c>
      <c r="E24">
        <f t="shared" si="1"/>
        <v>652.5</v>
      </c>
      <c r="F24">
        <f t="shared" si="2"/>
        <v>44280</v>
      </c>
      <c r="G24" s="4">
        <f t="shared" si="4"/>
        <v>60</v>
      </c>
    </row>
    <row r="25" spans="1:7" x14ac:dyDescent="0.25">
      <c r="A25" s="1">
        <v>0.95</v>
      </c>
      <c r="B25" s="1"/>
      <c r="C25" s="3">
        <f t="shared" si="3"/>
        <v>46550</v>
      </c>
      <c r="D25">
        <f t="shared" si="0"/>
        <v>463.12499999999994</v>
      </c>
      <c r="E25">
        <f t="shared" si="1"/>
        <v>700.625</v>
      </c>
      <c r="F25">
        <f t="shared" si="2"/>
        <v>47713.75</v>
      </c>
      <c r="G25" s="4">
        <f t="shared" si="4"/>
        <v>64.652777777777771</v>
      </c>
    </row>
    <row r="26" spans="1:7" x14ac:dyDescent="0.25">
      <c r="A26" s="2">
        <v>1</v>
      </c>
      <c r="B26" s="2"/>
      <c r="C26" s="3">
        <f t="shared" si="3"/>
        <v>50000</v>
      </c>
      <c r="D26">
        <f t="shared" si="0"/>
        <v>500</v>
      </c>
      <c r="E26">
        <f t="shared" si="1"/>
        <v>750</v>
      </c>
      <c r="F26">
        <f t="shared" si="2"/>
        <v>51250</v>
      </c>
      <c r="G26" s="4">
        <f t="shared" si="4"/>
        <v>69.444444444444443</v>
      </c>
    </row>
    <row r="27" spans="1:7" x14ac:dyDescent="0.25">
      <c r="A27" s="1">
        <v>1.05</v>
      </c>
      <c r="B27" s="1">
        <f>A27-1</f>
        <v>5.0000000000000044E-2</v>
      </c>
      <c r="C27" s="3">
        <f>40*B27*$B$3+(B27*$B$3^2)/400+3.33*$B$3*B27^2+$C$26</f>
        <v>54516.65</v>
      </c>
      <c r="D27">
        <f>((10/3)*(A27-1)^2+40*(A27-1))*25+$D$26</f>
        <v>550.20833333333337</v>
      </c>
      <c r="E27">
        <f>((5/1.5)*(A27-1)^2+50*(A27-1))*25+$E$26</f>
        <v>812.70833333333337</v>
      </c>
      <c r="F27">
        <f t="shared" si="2"/>
        <v>55879.566666666673</v>
      </c>
      <c r="G27" s="4">
        <f t="shared" si="4"/>
        <v>75.71756944444445</v>
      </c>
    </row>
    <row r="28" spans="1:7" x14ac:dyDescent="0.25">
      <c r="A28" s="2">
        <v>1.1000000000000001</v>
      </c>
      <c r="B28" s="1">
        <f t="shared" ref="B28:B56" si="5">A28-1</f>
        <v>0.10000000000000009</v>
      </c>
      <c r="C28" s="3">
        <f t="shared" ref="C28:C56" si="6">40*B28*$B$3+(B28*$B$3^2)/400+3.33*$B$3*B28^2+$C$26</f>
        <v>59066.600000000006</v>
      </c>
      <c r="D28">
        <f>((10/3)*(A28-1)^2+40*(A28-1))*25+$D$26</f>
        <v>600.83333333333337</v>
      </c>
      <c r="E28">
        <f t="shared" ref="E28:E56" si="7">((5/1.5)*(A28-1)^2+50*(A28-1))*25+$E$26</f>
        <v>875.83333333333348</v>
      </c>
      <c r="F28">
        <f t="shared" si="2"/>
        <v>60543.266666666677</v>
      </c>
      <c r="G28" s="4">
        <f t="shared" si="4"/>
        <v>82.036944444444444</v>
      </c>
    </row>
    <row r="29" spans="1:7" x14ac:dyDescent="0.25">
      <c r="A29" s="1">
        <v>1.1499999999999999</v>
      </c>
      <c r="B29" s="1">
        <f t="shared" si="5"/>
        <v>0.14999999999999991</v>
      </c>
      <c r="C29" s="3">
        <f t="shared" si="6"/>
        <v>63649.849999999991</v>
      </c>
      <c r="D29">
        <f t="shared" ref="D29:D56" si="8">((10/3)*(A29-1)^2+40*(A29-1))*25+$D$26</f>
        <v>651.87499999999989</v>
      </c>
      <c r="E29">
        <f t="shared" si="7"/>
        <v>939.37499999999989</v>
      </c>
      <c r="F29">
        <f t="shared" si="2"/>
        <v>65241.099999999991</v>
      </c>
      <c r="G29" s="4">
        <f t="shared" si="4"/>
        <v>88.402569444444424</v>
      </c>
    </row>
    <row r="30" spans="1:7" x14ac:dyDescent="0.25">
      <c r="A30" s="2">
        <v>1.2</v>
      </c>
      <c r="B30" s="1">
        <f t="shared" si="5"/>
        <v>0.19999999999999996</v>
      </c>
      <c r="C30" s="3">
        <f t="shared" si="6"/>
        <v>68266.399999999994</v>
      </c>
      <c r="D30">
        <f t="shared" si="8"/>
        <v>703.33333333333326</v>
      </c>
      <c r="E30">
        <f t="shared" si="7"/>
        <v>1003.3333333333333</v>
      </c>
      <c r="F30">
        <f t="shared" si="2"/>
        <v>69973.066666666651</v>
      </c>
      <c r="G30" s="4">
        <f t="shared" si="4"/>
        <v>94.814444444444433</v>
      </c>
    </row>
    <row r="31" spans="1:7" x14ac:dyDescent="0.25">
      <c r="A31" s="1">
        <v>1.25</v>
      </c>
      <c r="B31" s="1">
        <f t="shared" si="5"/>
        <v>0.25</v>
      </c>
      <c r="C31" s="3">
        <f t="shared" si="6"/>
        <v>72916.25</v>
      </c>
      <c r="D31">
        <f t="shared" si="8"/>
        <v>755.20833333333337</v>
      </c>
      <c r="E31">
        <f t="shared" si="7"/>
        <v>1067.7083333333335</v>
      </c>
      <c r="F31">
        <f t="shared" si="2"/>
        <v>74739.166666666657</v>
      </c>
      <c r="G31" s="4">
        <f t="shared" si="4"/>
        <v>101.27256944444444</v>
      </c>
    </row>
    <row r="32" spans="1:7" x14ac:dyDescent="0.25">
      <c r="A32" s="2">
        <v>1.3</v>
      </c>
      <c r="B32" s="1">
        <f t="shared" si="5"/>
        <v>0.30000000000000004</v>
      </c>
      <c r="C32" s="3">
        <f t="shared" si="6"/>
        <v>77599.400000000009</v>
      </c>
      <c r="D32">
        <f t="shared" si="8"/>
        <v>807.5</v>
      </c>
      <c r="E32">
        <f t="shared" si="7"/>
        <v>1132.5</v>
      </c>
      <c r="F32">
        <f t="shared" si="2"/>
        <v>79539.400000000009</v>
      </c>
      <c r="G32" s="4">
        <f t="shared" si="4"/>
        <v>107.77694444444445</v>
      </c>
    </row>
    <row r="33" spans="1:7" x14ac:dyDescent="0.25">
      <c r="A33" s="1">
        <v>1.35</v>
      </c>
      <c r="B33" s="1">
        <f t="shared" si="5"/>
        <v>0.35000000000000009</v>
      </c>
      <c r="C33" s="3">
        <f t="shared" si="6"/>
        <v>82315.850000000006</v>
      </c>
      <c r="D33">
        <f t="shared" si="8"/>
        <v>860.20833333333348</v>
      </c>
      <c r="E33">
        <f t="shared" si="7"/>
        <v>1197.7083333333335</v>
      </c>
      <c r="F33">
        <f t="shared" si="2"/>
        <v>84373.766666666663</v>
      </c>
      <c r="G33" s="4">
        <f t="shared" si="4"/>
        <v>114.32756944444444</v>
      </c>
    </row>
    <row r="34" spans="1:7" x14ac:dyDescent="0.25">
      <c r="A34" s="2">
        <v>1.4</v>
      </c>
      <c r="B34" s="1">
        <f t="shared" si="5"/>
        <v>0.39999999999999991</v>
      </c>
      <c r="C34" s="3">
        <f t="shared" si="6"/>
        <v>87065.599999999991</v>
      </c>
      <c r="D34">
        <f t="shared" si="8"/>
        <v>913.33333333333326</v>
      </c>
      <c r="E34">
        <f t="shared" si="7"/>
        <v>1263.333333333333</v>
      </c>
      <c r="F34">
        <f t="shared" si="2"/>
        <v>89242.266666666648</v>
      </c>
      <c r="G34" s="4">
        <f t="shared" si="4"/>
        <v>120.92444444444442</v>
      </c>
    </row>
    <row r="35" spans="1:7" x14ac:dyDescent="0.25">
      <c r="A35" s="1">
        <v>1.45</v>
      </c>
      <c r="B35" s="1">
        <f t="shared" si="5"/>
        <v>0.44999999999999996</v>
      </c>
      <c r="C35" s="3">
        <f t="shared" si="6"/>
        <v>91848.65</v>
      </c>
      <c r="D35">
        <f t="shared" si="8"/>
        <v>966.875</v>
      </c>
      <c r="E35">
        <f t="shared" si="7"/>
        <v>1329.375</v>
      </c>
      <c r="F35">
        <f t="shared" si="2"/>
        <v>94144.9</v>
      </c>
      <c r="G35" s="4">
        <f t="shared" si="4"/>
        <v>127.56756944444443</v>
      </c>
    </row>
    <row r="36" spans="1:7" x14ac:dyDescent="0.25">
      <c r="A36" s="2">
        <v>1.5</v>
      </c>
      <c r="B36" s="1">
        <f t="shared" si="5"/>
        <v>0.5</v>
      </c>
      <c r="C36" s="3">
        <f t="shared" si="6"/>
        <v>96665</v>
      </c>
      <c r="D36">
        <f t="shared" si="8"/>
        <v>1020.8333333333333</v>
      </c>
      <c r="E36">
        <f t="shared" si="7"/>
        <v>1395.8333333333333</v>
      </c>
      <c r="F36">
        <f t="shared" si="2"/>
        <v>99081.666666666657</v>
      </c>
      <c r="G36" s="4">
        <f t="shared" si="4"/>
        <v>134.25694444444446</v>
      </c>
    </row>
    <row r="37" spans="1:7" x14ac:dyDescent="0.25">
      <c r="A37" s="1">
        <v>1.55</v>
      </c>
      <c r="B37" s="1">
        <f t="shared" si="5"/>
        <v>0.55000000000000004</v>
      </c>
      <c r="C37" s="3">
        <f t="shared" si="6"/>
        <v>101514.65</v>
      </c>
      <c r="D37">
        <f t="shared" si="8"/>
        <v>1075.2083333333335</v>
      </c>
      <c r="E37">
        <f t="shared" si="7"/>
        <v>1462.7083333333335</v>
      </c>
      <c r="F37">
        <f t="shared" si="2"/>
        <v>104052.56666666665</v>
      </c>
      <c r="G37" s="4">
        <f t="shared" si="4"/>
        <v>140.99256944444443</v>
      </c>
    </row>
    <row r="38" spans="1:7" x14ac:dyDescent="0.25">
      <c r="A38" s="2">
        <v>1.6</v>
      </c>
      <c r="B38" s="1">
        <f t="shared" si="5"/>
        <v>0.60000000000000009</v>
      </c>
      <c r="C38" s="3">
        <f t="shared" si="6"/>
        <v>106397.6</v>
      </c>
      <c r="D38">
        <f t="shared" si="8"/>
        <v>1130</v>
      </c>
      <c r="E38">
        <f t="shared" si="7"/>
        <v>1530</v>
      </c>
      <c r="F38">
        <f t="shared" si="2"/>
        <v>109057.60000000001</v>
      </c>
      <c r="G38" s="4">
        <f t="shared" si="4"/>
        <v>147.77444444444444</v>
      </c>
    </row>
    <row r="39" spans="1:7" x14ac:dyDescent="0.25">
      <c r="A39" s="1">
        <v>1.65</v>
      </c>
      <c r="B39" s="1">
        <f t="shared" si="5"/>
        <v>0.64999999999999991</v>
      </c>
      <c r="C39" s="3">
        <f t="shared" si="6"/>
        <v>111313.84999999999</v>
      </c>
      <c r="D39">
        <f t="shared" si="8"/>
        <v>1185.208333333333</v>
      </c>
      <c r="E39">
        <f t="shared" si="7"/>
        <v>1597.708333333333</v>
      </c>
      <c r="F39">
        <f t="shared" si="2"/>
        <v>114096.76666666665</v>
      </c>
      <c r="G39" s="4">
        <f t="shared" si="4"/>
        <v>154.60256944444441</v>
      </c>
    </row>
    <row r="40" spans="1:7" x14ac:dyDescent="0.25">
      <c r="A40" s="2">
        <v>1.7</v>
      </c>
      <c r="B40" s="1">
        <f t="shared" si="5"/>
        <v>0.7</v>
      </c>
      <c r="C40" s="3">
        <f t="shared" si="6"/>
        <v>116263.4</v>
      </c>
      <c r="D40">
        <f t="shared" si="8"/>
        <v>1240.8333333333335</v>
      </c>
      <c r="E40">
        <f t="shared" si="7"/>
        <v>1665.8333333333335</v>
      </c>
      <c r="F40">
        <f t="shared" si="2"/>
        <v>119170.06666666665</v>
      </c>
      <c r="G40" s="4">
        <f t="shared" si="4"/>
        <v>161.47694444444443</v>
      </c>
    </row>
    <row r="41" spans="1:7" x14ac:dyDescent="0.25">
      <c r="A41" s="1">
        <v>1.75</v>
      </c>
      <c r="B41" s="1">
        <f t="shared" si="5"/>
        <v>0.75</v>
      </c>
      <c r="C41" s="3">
        <f t="shared" si="6"/>
        <v>121246.25</v>
      </c>
      <c r="D41">
        <f t="shared" si="8"/>
        <v>1296.875</v>
      </c>
      <c r="E41">
        <f t="shared" si="7"/>
        <v>1734.375</v>
      </c>
      <c r="F41">
        <f t="shared" si="2"/>
        <v>124277.5</v>
      </c>
      <c r="G41" s="4">
        <f t="shared" si="4"/>
        <v>168.39756944444443</v>
      </c>
    </row>
    <row r="42" spans="1:7" x14ac:dyDescent="0.25">
      <c r="A42" s="2">
        <v>1.8</v>
      </c>
      <c r="B42" s="1">
        <f t="shared" si="5"/>
        <v>0.8</v>
      </c>
      <c r="C42" s="3">
        <f t="shared" si="6"/>
        <v>126262.39999999999</v>
      </c>
      <c r="D42">
        <f t="shared" si="8"/>
        <v>1353.3333333333335</v>
      </c>
      <c r="E42">
        <f t="shared" si="7"/>
        <v>1803.3333333333333</v>
      </c>
      <c r="F42">
        <f t="shared" si="2"/>
        <v>129419.06666666665</v>
      </c>
      <c r="G42" s="4">
        <f t="shared" si="4"/>
        <v>175.36444444444442</v>
      </c>
    </row>
    <row r="43" spans="1:7" x14ac:dyDescent="0.25">
      <c r="A43" s="1">
        <v>1.85</v>
      </c>
      <c r="B43" s="1">
        <f t="shared" si="5"/>
        <v>0.85000000000000009</v>
      </c>
      <c r="C43" s="3">
        <f t="shared" si="6"/>
        <v>131311.85</v>
      </c>
      <c r="D43">
        <f t="shared" si="8"/>
        <v>1410.2083333333333</v>
      </c>
      <c r="E43">
        <f t="shared" si="7"/>
        <v>1872.7083333333335</v>
      </c>
      <c r="F43">
        <f t="shared" si="2"/>
        <v>134594.76666666669</v>
      </c>
      <c r="G43" s="4">
        <f t="shared" si="4"/>
        <v>182.37756944444445</v>
      </c>
    </row>
    <row r="44" spans="1:7" x14ac:dyDescent="0.25">
      <c r="A44" s="2">
        <v>1.9</v>
      </c>
      <c r="B44" s="1">
        <f t="shared" si="5"/>
        <v>0.89999999999999991</v>
      </c>
      <c r="C44" s="3">
        <f t="shared" si="6"/>
        <v>136394.6</v>
      </c>
      <c r="D44">
        <f t="shared" si="8"/>
        <v>1467.5</v>
      </c>
      <c r="E44">
        <f t="shared" si="7"/>
        <v>1942.5</v>
      </c>
      <c r="F44">
        <f t="shared" si="2"/>
        <v>139804.6</v>
      </c>
      <c r="G44" s="4">
        <f t="shared" si="4"/>
        <v>189.43694444444446</v>
      </c>
    </row>
    <row r="45" spans="1:7" x14ac:dyDescent="0.25">
      <c r="A45" s="1">
        <v>1.95</v>
      </c>
      <c r="B45" s="1">
        <f t="shared" si="5"/>
        <v>0.95</v>
      </c>
      <c r="C45" s="3">
        <f t="shared" si="6"/>
        <v>141510.65</v>
      </c>
      <c r="D45">
        <f t="shared" si="8"/>
        <v>1525.2083333333333</v>
      </c>
      <c r="E45">
        <f t="shared" si="7"/>
        <v>2012.7083333333333</v>
      </c>
      <c r="F45">
        <f t="shared" si="2"/>
        <v>145048.56666666668</v>
      </c>
      <c r="G45" s="4">
        <f t="shared" si="4"/>
        <v>196.54256944444441</v>
      </c>
    </row>
    <row r="46" spans="1:7" x14ac:dyDescent="0.25">
      <c r="A46" s="2">
        <v>2</v>
      </c>
      <c r="B46" s="1">
        <f t="shared" si="5"/>
        <v>1</v>
      </c>
      <c r="C46" s="3">
        <f t="shared" si="6"/>
        <v>146660</v>
      </c>
      <c r="D46">
        <f t="shared" si="8"/>
        <v>1583.3333333333335</v>
      </c>
      <c r="E46">
        <f t="shared" si="7"/>
        <v>2083.3333333333335</v>
      </c>
      <c r="F46">
        <f t="shared" si="2"/>
        <v>150326.66666666669</v>
      </c>
      <c r="G46" s="4">
        <f t="shared" si="4"/>
        <v>203.69444444444443</v>
      </c>
    </row>
    <row r="47" spans="1:7" x14ac:dyDescent="0.25">
      <c r="A47" s="1">
        <v>2.0499999999999998</v>
      </c>
      <c r="B47" s="1">
        <f t="shared" si="5"/>
        <v>1.0499999999999998</v>
      </c>
      <c r="C47" s="3">
        <f t="shared" si="6"/>
        <v>151842.64999999997</v>
      </c>
      <c r="D47">
        <f t="shared" si="8"/>
        <v>1641.8749999999998</v>
      </c>
      <c r="E47">
        <f t="shared" si="7"/>
        <v>2154.375</v>
      </c>
      <c r="F47">
        <f t="shared" si="2"/>
        <v>155638.89999999997</v>
      </c>
      <c r="G47" s="4">
        <f t="shared" si="4"/>
        <v>210.89256944444438</v>
      </c>
    </row>
    <row r="48" spans="1:7" x14ac:dyDescent="0.25">
      <c r="A48" s="2">
        <v>2.1</v>
      </c>
      <c r="B48" s="1">
        <f t="shared" si="5"/>
        <v>1.1000000000000001</v>
      </c>
      <c r="C48" s="3">
        <f t="shared" si="6"/>
        <v>157058.6</v>
      </c>
      <c r="D48">
        <f t="shared" si="8"/>
        <v>1700.8333333333333</v>
      </c>
      <c r="E48">
        <f t="shared" si="7"/>
        <v>2225.8333333333335</v>
      </c>
      <c r="F48">
        <f t="shared" si="2"/>
        <v>160985.26666666669</v>
      </c>
      <c r="G48" s="4">
        <f t="shared" si="4"/>
        <v>218.13694444444445</v>
      </c>
    </row>
    <row r="49" spans="1:7" x14ac:dyDescent="0.25">
      <c r="A49" s="1">
        <v>2.15</v>
      </c>
      <c r="B49" s="1">
        <f t="shared" si="5"/>
        <v>1.1499999999999999</v>
      </c>
      <c r="C49" s="3">
        <f t="shared" si="6"/>
        <v>162307.85</v>
      </c>
      <c r="D49">
        <f t="shared" si="8"/>
        <v>1760.2083333333333</v>
      </c>
      <c r="E49">
        <f t="shared" si="7"/>
        <v>2297.708333333333</v>
      </c>
      <c r="F49">
        <f t="shared" si="2"/>
        <v>166365.76666666669</v>
      </c>
      <c r="G49" s="4">
        <f t="shared" si="4"/>
        <v>225.42756944444446</v>
      </c>
    </row>
    <row r="50" spans="1:7" x14ac:dyDescent="0.25">
      <c r="A50" s="2">
        <v>2.2000000000000002</v>
      </c>
      <c r="B50" s="1">
        <f t="shared" si="5"/>
        <v>1.2000000000000002</v>
      </c>
      <c r="C50" s="3">
        <f t="shared" si="6"/>
        <v>167590.40000000002</v>
      </c>
      <c r="D50">
        <f t="shared" si="8"/>
        <v>1820.0000000000002</v>
      </c>
      <c r="E50">
        <f t="shared" si="7"/>
        <v>2370</v>
      </c>
      <c r="F50">
        <f t="shared" si="2"/>
        <v>171780.40000000002</v>
      </c>
      <c r="G50" s="4">
        <f t="shared" si="4"/>
        <v>232.76444444444448</v>
      </c>
    </row>
    <row r="51" spans="1:7" x14ac:dyDescent="0.25">
      <c r="A51" s="1">
        <v>2.25</v>
      </c>
      <c r="B51" s="1">
        <f t="shared" si="5"/>
        <v>1.25</v>
      </c>
      <c r="C51" s="3">
        <f t="shared" si="6"/>
        <v>172906.25</v>
      </c>
      <c r="D51">
        <f t="shared" si="8"/>
        <v>1880.2083333333335</v>
      </c>
      <c r="E51">
        <f t="shared" si="7"/>
        <v>2442.708333333333</v>
      </c>
      <c r="F51">
        <f t="shared" si="2"/>
        <v>177229.16666666669</v>
      </c>
      <c r="G51" s="4">
        <f t="shared" si="4"/>
        <v>240.14756944444443</v>
      </c>
    </row>
    <row r="52" spans="1:7" x14ac:dyDescent="0.25">
      <c r="A52" s="2">
        <v>2.2999999999999998</v>
      </c>
      <c r="B52" s="1">
        <f t="shared" si="5"/>
        <v>1.2999999999999998</v>
      </c>
      <c r="C52" s="3">
        <f t="shared" si="6"/>
        <v>178255.39999999997</v>
      </c>
      <c r="D52">
        <f t="shared" si="8"/>
        <v>1940.833333333333</v>
      </c>
      <c r="E52">
        <f t="shared" si="7"/>
        <v>2515.833333333333</v>
      </c>
      <c r="F52">
        <f t="shared" si="2"/>
        <v>182712.06666666665</v>
      </c>
      <c r="G52" s="4">
        <f t="shared" si="4"/>
        <v>247.57694444444439</v>
      </c>
    </row>
    <row r="53" spans="1:7" x14ac:dyDescent="0.25">
      <c r="A53" s="1">
        <v>2.35</v>
      </c>
      <c r="B53" s="1">
        <f t="shared" si="5"/>
        <v>1.35</v>
      </c>
      <c r="C53" s="3">
        <f t="shared" si="6"/>
        <v>183637.85</v>
      </c>
      <c r="D53">
        <f t="shared" si="8"/>
        <v>2001.875</v>
      </c>
      <c r="E53">
        <f t="shared" si="7"/>
        <v>2589.375</v>
      </c>
      <c r="F53">
        <f t="shared" si="2"/>
        <v>188229.1</v>
      </c>
      <c r="G53" s="4">
        <f t="shared" si="4"/>
        <v>255.05256944444446</v>
      </c>
    </row>
    <row r="54" spans="1:7" x14ac:dyDescent="0.25">
      <c r="A54" s="2">
        <v>2.4</v>
      </c>
      <c r="B54" s="1">
        <f t="shared" si="5"/>
        <v>1.4</v>
      </c>
      <c r="C54" s="3">
        <f t="shared" si="6"/>
        <v>189053.6</v>
      </c>
      <c r="D54">
        <f t="shared" si="8"/>
        <v>2063.333333333333</v>
      </c>
      <c r="E54">
        <f t="shared" si="7"/>
        <v>2663.333333333333</v>
      </c>
      <c r="F54">
        <f t="shared" si="2"/>
        <v>193780.26666666669</v>
      </c>
      <c r="G54" s="4">
        <f t="shared" si="4"/>
        <v>262.57444444444445</v>
      </c>
    </row>
    <row r="55" spans="1:7" x14ac:dyDescent="0.25">
      <c r="A55" s="1">
        <v>2.4500000000000002</v>
      </c>
      <c r="B55" s="1">
        <f t="shared" si="5"/>
        <v>1.4500000000000002</v>
      </c>
      <c r="C55" s="3">
        <f t="shared" si="6"/>
        <v>194502.65000000002</v>
      </c>
      <c r="D55">
        <f t="shared" si="8"/>
        <v>2125.2083333333335</v>
      </c>
      <c r="E55">
        <f t="shared" si="7"/>
        <v>2737.7083333333339</v>
      </c>
      <c r="F55">
        <f t="shared" si="2"/>
        <v>199365.56666666671</v>
      </c>
      <c r="G55" s="4">
        <f t="shared" si="4"/>
        <v>270.14256944444446</v>
      </c>
    </row>
    <row r="56" spans="1:7" x14ac:dyDescent="0.25">
      <c r="A56" s="2">
        <v>2.5</v>
      </c>
      <c r="B56" s="1">
        <f t="shared" si="5"/>
        <v>1.5</v>
      </c>
      <c r="C56" s="3">
        <f t="shared" si="6"/>
        <v>199985</v>
      </c>
      <c r="D56">
        <f t="shared" si="8"/>
        <v>2187.5</v>
      </c>
      <c r="E56">
        <f t="shared" si="7"/>
        <v>2812.5</v>
      </c>
      <c r="F56">
        <f t="shared" si="2"/>
        <v>204985</v>
      </c>
      <c r="G56" s="4">
        <f t="shared" si="4"/>
        <v>277.75694444444446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T1</vt:lpstr>
      <vt:lpstr>T2</vt:lpstr>
      <vt:lpstr>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Luger</dc:creator>
  <cp:lastModifiedBy>Chris Luger</cp:lastModifiedBy>
  <dcterms:created xsi:type="dcterms:W3CDTF">2019-06-10T16:32:32Z</dcterms:created>
  <dcterms:modified xsi:type="dcterms:W3CDTF">2019-07-17T08:17:06Z</dcterms:modified>
</cp:coreProperties>
</file>