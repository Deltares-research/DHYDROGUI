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5_cross-sections\c16_YZ-profile_lumped\analysis\results\"/>
    </mc:Choice>
  </mc:AlternateContent>
  <xr:revisionPtr revIDLastSave="0" documentId="13_ncr:1_{49D1B05F-614C-4691-B312-DD770397CF96}" xr6:coauthVersionLast="41" xr6:coauthVersionMax="41" xr10:uidLastSave="{00000000-0000-0000-0000-000000000000}"/>
  <bookViews>
    <workbookView xWindow="-120" yWindow="-120" windowWidth="29040" windowHeight="15840" xr2:uid="{40EB1329-904C-40DD-BAC6-12192C451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1" l="1"/>
  <c r="G3" i="1"/>
  <c r="G2" i="1" l="1"/>
  <c r="F2" i="1" l="1"/>
  <c r="F8" i="1" l="1"/>
  <c r="G8" i="1" l="1"/>
  <c r="G9" i="1" s="1"/>
  <c r="F3" i="1"/>
  <c r="G5" i="1"/>
  <c r="F6" i="1"/>
  <c r="F5" i="1" l="1"/>
  <c r="F4" i="1"/>
  <c r="F9" i="1"/>
</calcChain>
</file>

<file path=xl/sharedStrings.xml><?xml version="1.0" encoding="utf-8"?>
<sst xmlns="http://schemas.openxmlformats.org/spreadsheetml/2006/main" count="10" uniqueCount="10">
  <si>
    <t>Y</t>
  </si>
  <si>
    <t>Z</t>
  </si>
  <si>
    <t>DeltaZ</t>
  </si>
  <si>
    <t>Area</t>
  </si>
  <si>
    <t>Perimeter</t>
  </si>
  <si>
    <t>Total</t>
  </si>
  <si>
    <t>2x</t>
  </si>
  <si>
    <t>Hydraulic radius</t>
  </si>
  <si>
    <t>Correction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</si>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</sst>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171450</xdr:colOff>
      <xdr:row>1</xdr:row>
      <xdr:rowOff>38100</xdr:rowOff>
    </xdr:from>
    <xdr:to>
      <xdr:col>21</xdr:col>
      <xdr:colOff>589734</xdr:colOff>
      <xdr:row>22</xdr:row>
      <xdr:rowOff>75695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80838-A838-46E5-8B67-6E15D9A63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7050" y="228600"/>
          <a:ext cx="6523809" cy="4038095"/>
        </a:xfrm>
        <a:prstGeom prst="rect">
          <a:avLst/>
        </a:prstGeom>
      </xdr:spPr>
    </xdr:pic>
    <xdr:clientData/>
  </xdr:twoCellAnchor>
  <xdr:oneCellAnchor>
    <xdr:from>
      <xdr:col>12</xdr:col>
      <xdr:colOff>457200</xdr:colOff>
      <xdr:row>6</xdr:row>
      <xdr:rowOff>180975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14B768-446B-4C0D-9AA8-06ACCF554A0C}"/>
            </a:ext>
          </a:extLst>
        </xdr:cNvPr>
        <xdr:cNvSpPr txBox="1"/>
      </xdr:nvSpPr>
      <xdr:spPr>
        <a:xfrm>
          <a:off x="8181975" y="13239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/>
            <a:t>1</a:t>
          </a:r>
        </a:p>
      </xdr:txBody>
    </xdr:sp>
    <xdr:clientData/>
  </xdr:oneCellAnchor>
  <xdr:twoCellAnchor>
    <xdr:from>
      <xdr:col>13</xdr:col>
      <xdr:colOff>238125</xdr:colOff>
      <xdr:row>5</xdr:row>
      <xdr:rowOff>95250</xdr:rowOff>
    </xdr:from>
    <xdr:to>
      <xdr:col>13</xdr:col>
      <xdr:colOff>238126</xdr:colOff>
      <xdr:row>14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4D0423C-8D62-48FC-86A0-84AE09BF8341}"/>
            </a:ext>
          </a:extLst>
        </xdr:cNvPr>
        <xdr:cNvCxnSpPr/>
      </xdr:nvCxnSpPr>
      <xdr:spPr>
        <a:xfrm>
          <a:off x="8572500" y="1047750"/>
          <a:ext cx="1" cy="16287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5</xdr:row>
      <xdr:rowOff>95250</xdr:rowOff>
    </xdr:from>
    <xdr:to>
      <xdr:col>14</xdr:col>
      <xdr:colOff>171451</xdr:colOff>
      <xdr:row>14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BF1B536-FCEF-4482-B5A2-A1124D4DFE90}"/>
            </a:ext>
          </a:extLst>
        </xdr:cNvPr>
        <xdr:cNvCxnSpPr/>
      </xdr:nvCxnSpPr>
      <xdr:spPr>
        <a:xfrm>
          <a:off x="9115425" y="1047750"/>
          <a:ext cx="1" cy="16287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381000</xdr:colOff>
      <xdr:row>6</xdr:row>
      <xdr:rowOff>171450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039265-539D-4BBB-9B4F-8ED2B15FFCF3}"/>
            </a:ext>
          </a:extLst>
        </xdr:cNvPr>
        <xdr:cNvSpPr txBox="1"/>
      </xdr:nvSpPr>
      <xdr:spPr>
        <a:xfrm>
          <a:off x="8715375" y="13144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/>
            <a:t>2</a:t>
          </a:r>
        </a:p>
      </xdr:txBody>
    </xdr:sp>
    <xdr:clientData/>
  </xdr:oneCellAnchor>
  <xdr:twoCellAnchor>
    <xdr:from>
      <xdr:col>16</xdr:col>
      <xdr:colOff>57150</xdr:colOff>
      <xdr:row>5</xdr:row>
      <xdr:rowOff>85725</xdr:rowOff>
    </xdr:from>
    <xdr:to>
      <xdr:col>16</xdr:col>
      <xdr:colOff>57150</xdr:colOff>
      <xdr:row>18</xdr:row>
      <xdr:rowOff>38100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1C9BC43-4333-4086-9593-2352B5234A3E}"/>
            </a:ext>
          </a:extLst>
        </xdr:cNvPr>
        <xdr:cNvCxnSpPr/>
      </xdr:nvCxnSpPr>
      <xdr:spPr>
        <a:xfrm>
          <a:off x="10220325" y="1038225"/>
          <a:ext cx="0" cy="24288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5</xdr:row>
      <xdr:rowOff>66675</xdr:rowOff>
    </xdr:from>
    <xdr:to>
      <xdr:col>16</xdr:col>
      <xdr:colOff>600075</xdr:colOff>
      <xdr:row>18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946A492-37C5-4E81-BFF2-96A9FD27748C}"/>
            </a:ext>
          </a:extLst>
        </xdr:cNvPr>
        <xdr:cNvCxnSpPr/>
      </xdr:nvCxnSpPr>
      <xdr:spPr>
        <a:xfrm>
          <a:off x="10763250" y="1019175"/>
          <a:ext cx="0" cy="24288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600075</xdr:colOff>
      <xdr:row>6</xdr:row>
      <xdr:rowOff>180975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A3D5DA7-D668-4D6C-B5F7-E3594E414838}"/>
            </a:ext>
          </a:extLst>
        </xdr:cNvPr>
        <xdr:cNvSpPr txBox="1"/>
      </xdr:nvSpPr>
      <xdr:spPr>
        <a:xfrm>
          <a:off x="9544050" y="13239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/>
            <a:t>3</a:t>
          </a:r>
        </a:p>
      </xdr:txBody>
    </xdr:sp>
    <xdr:clientData/>
  </xdr:oneCellAnchor>
  <xdr:oneCellAnchor>
    <xdr:from>
      <xdr:col>16</xdr:col>
      <xdr:colOff>219075</xdr:colOff>
      <xdr:row>6</xdr:row>
      <xdr:rowOff>161925</xdr:rowOff>
    </xdr:from>
    <xdr:ext cx="25616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4E0D0E6-1755-4452-A984-0903EB2AA134}"/>
            </a:ext>
          </a:extLst>
        </xdr:cNvPr>
        <xdr:cNvSpPr txBox="1"/>
      </xdr:nvSpPr>
      <xdr:spPr>
        <a:xfrm>
          <a:off x="10382250" y="13049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/>
            <a:t>4</a:t>
          </a:r>
        </a:p>
      </xdr:txBody>
    </xdr:sp>
    <xdr:clientData/>
  </xdr:oneCellAnchor>
  <xdr:twoCellAnchor>
    <xdr:from>
      <xdr:col>12</xdr:col>
      <xdr:colOff>304800</xdr:colOff>
      <xdr:row>5</xdr:row>
      <xdr:rowOff>95250</xdr:rowOff>
    </xdr:from>
    <xdr:to>
      <xdr:col>17</xdr:col>
      <xdr:colOff>0</xdr:colOff>
      <xdr:row>5</xdr:row>
      <xdr:rowOff>95250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5C8ECE-1A89-4DD7-97D5-DE1577DE93DC}"/>
            </a:ext>
          </a:extLst>
        </xdr:cNvPr>
        <xdr:cNvCxnSpPr/>
      </xdr:nvCxnSpPr>
      <xdr:spPr>
        <a:xfrm>
          <a:off x="8029575" y="1047750"/>
          <a:ext cx="2743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247650</xdr:colOff>
      <xdr:row>4</xdr:row>
      <xdr:rowOff>76200</xdr:rowOff>
    </xdr:from>
    <xdr:ext cx="25616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F834DE-8C64-4E71-AA1B-7DA5F693B228}"/>
            </a:ext>
          </a:extLst>
        </xdr:cNvPr>
        <xdr:cNvSpPr txBox="1"/>
      </xdr:nvSpPr>
      <xdr:spPr>
        <a:xfrm>
          <a:off x="7972425" y="8382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/>
            <a:t>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B176-049E-42D2-9EAC-EFF2885DF614}">
  <dimension ref="A1:H11"/>
  <sheetViews>
    <sheetView tabSelected="1" workbookViewId="0">
      <selection activeCell="H9" sqref="H9"/>
    </sheetView>
  </sheetViews>
  <sheetFormatPr defaultRowHeight="15" x14ac:dyDescent="0.25"/>
  <cols>
    <col min="6" max="6" width="12.28515625" customWidth="1"/>
    <col min="7" max="7" width="12.140625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9</v>
      </c>
      <c r="F1" t="s">
        <v>3</v>
      </c>
      <c r="G1" t="s">
        <v>4</v>
      </c>
    </row>
    <row r="2" spans="1:8" x14ac:dyDescent="0.25">
      <c r="A2">
        <v>0</v>
      </c>
      <c r="B2">
        <v>3.5</v>
      </c>
      <c r="C2">
        <v>0</v>
      </c>
      <c r="E2">
        <v>0</v>
      </c>
      <c r="F2">
        <f>(1/(1.5/0.001))/2</f>
        <v>3.3333333333333332E-4</v>
      </c>
      <c r="G2">
        <f>SQRT((1/(1.5/0.001))^2+1^2)</f>
        <v>1.0000002222221975</v>
      </c>
    </row>
    <row r="3" spans="1:8" x14ac:dyDescent="0.25">
      <c r="A3">
        <v>1E-3</v>
      </c>
      <c r="B3">
        <v>2</v>
      </c>
      <c r="C3">
        <v>0</v>
      </c>
      <c r="E3">
        <v>1</v>
      </c>
      <c r="F3">
        <f>(1*(5-0.001))+(1*(5-0.001)/2)</f>
        <v>7.4984999999999999</v>
      </c>
      <c r="G3">
        <f>SQRT((5-0.001)^2+1^2)</f>
        <v>5.0980389366892833</v>
      </c>
    </row>
    <row r="4" spans="1:8" x14ac:dyDescent="0.25">
      <c r="A4">
        <v>5</v>
      </c>
      <c r="B4">
        <v>1</v>
      </c>
      <c r="C4">
        <v>0</v>
      </c>
      <c r="E4">
        <v>2</v>
      </c>
      <c r="F4">
        <f>5*2</f>
        <v>10</v>
      </c>
      <c r="G4">
        <v>5</v>
      </c>
    </row>
    <row r="5" spans="1:8" x14ac:dyDescent="0.25">
      <c r="A5">
        <v>10</v>
      </c>
      <c r="B5">
        <v>1</v>
      </c>
      <c r="C5">
        <v>0</v>
      </c>
      <c r="E5">
        <v>3</v>
      </c>
      <c r="F5">
        <f>(10*2)+(10*1)/2</f>
        <v>25</v>
      </c>
      <c r="G5">
        <f>SQRT(10^2+1^2)</f>
        <v>10.04987562112089</v>
      </c>
    </row>
    <row r="6" spans="1:8" x14ac:dyDescent="0.25">
      <c r="A6">
        <v>20</v>
      </c>
      <c r="B6">
        <v>0</v>
      </c>
      <c r="C6">
        <v>0</v>
      </c>
      <c r="E6">
        <v>4</v>
      </c>
      <c r="F6">
        <f>3*5</f>
        <v>15</v>
      </c>
      <c r="G6">
        <v>5</v>
      </c>
    </row>
    <row r="7" spans="1:8" x14ac:dyDescent="0.25">
      <c r="A7">
        <v>30</v>
      </c>
      <c r="B7">
        <v>0</v>
      </c>
      <c r="C7">
        <v>0</v>
      </c>
      <c r="E7" t="s">
        <v>8</v>
      </c>
    </row>
    <row r="8" spans="1:8" x14ac:dyDescent="0.25">
      <c r="A8">
        <v>40</v>
      </c>
      <c r="B8">
        <v>1</v>
      </c>
      <c r="C8">
        <v>0</v>
      </c>
      <c r="E8" t="s">
        <v>5</v>
      </c>
      <c r="F8">
        <f>SUM(F2:F6)</f>
        <v>57.498833333333337</v>
      </c>
      <c r="G8">
        <f>SUM(G2:G6)</f>
        <v>26.147914780032373</v>
      </c>
      <c r="H8" t="s">
        <v>7</v>
      </c>
    </row>
    <row r="9" spans="1:8" x14ac:dyDescent="0.25">
      <c r="A9">
        <v>45</v>
      </c>
      <c r="B9">
        <v>1</v>
      </c>
      <c r="C9">
        <v>0</v>
      </c>
      <c r="E9" t="s">
        <v>6</v>
      </c>
      <c r="F9" s="1">
        <f>F8*2</f>
        <v>114.99766666666667</v>
      </c>
      <c r="G9" s="1">
        <f>2*G8</f>
        <v>52.295829560064746</v>
      </c>
      <c r="H9" s="1">
        <f>F9/G9</f>
        <v>2.1989835066022865</v>
      </c>
    </row>
    <row r="10" spans="1:8" x14ac:dyDescent="0.25">
      <c r="A10">
        <v>49.999000000000002</v>
      </c>
      <c r="B10">
        <v>2</v>
      </c>
      <c r="C10">
        <v>0</v>
      </c>
    </row>
    <row r="11" spans="1:8" x14ac:dyDescent="0.25">
      <c r="A11">
        <v>50</v>
      </c>
      <c r="B11">
        <v>3.5</v>
      </c>
      <c r="C11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Luger</dc:creator>
  <cp:lastModifiedBy>Chris Luger</cp:lastModifiedBy>
  <dcterms:created xsi:type="dcterms:W3CDTF">2019-07-19T13:55:02Z</dcterms:created>
  <dcterms:modified xsi:type="dcterms:W3CDTF">2019-08-02T13:07:42Z</dcterms:modified>
</cp:coreProperties>
</file>